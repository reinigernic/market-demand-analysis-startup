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D:\PREDITIVA\Estudos de Caso\STARTUP\"/>
    </mc:Choice>
  </mc:AlternateContent>
  <xr:revisionPtr revIDLastSave="0" documentId="13_ncr:1_{23564016-0CE9-4246-8C02-7563EF5941B4}" xr6:coauthVersionLast="47" xr6:coauthVersionMax="47" xr10:uidLastSave="{00000000-0000-0000-0000-000000000000}"/>
  <bookViews>
    <workbookView xWindow="-109" yWindow="-109" windowWidth="26301" windowHeight="14169" activeTab="4" xr2:uid="{C5D4EB72-5B8D-934A-BB69-595EB3CD4841}"/>
  </bookViews>
  <sheets>
    <sheet name="dados_da_campanha" sheetId="1" r:id="rId1"/>
    <sheet name="Metadados" sheetId="3" r:id="rId2"/>
    <sheet name="AED" sheetId="4" r:id="rId3"/>
    <sheet name="Inf Estatística" sheetId="6" r:id="rId4"/>
    <sheet name="dashboard" sheetId="7" r:id="rId5"/>
  </sheets>
  <definedNames>
    <definedName name="_xlnm._FilterDatabase" localSheetId="0" hidden="1">dados_da_campanha!$A$1:$F$121</definedName>
    <definedName name="_xlchart.v1.0" hidden="1">dados_da_campanha!$C$1</definedName>
    <definedName name="_xlchart.v1.1" hidden="1">dados_da_campanha!$C$2:$C$121</definedName>
  </definedNames>
  <calcPr calcId="181029"/>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Q37" i="4" l="1"/>
  <c r="P37" i="4"/>
  <c r="K15" i="6"/>
  <c r="K22" i="6" s="1"/>
  <c r="K14" i="6"/>
  <c r="O12" i="6"/>
  <c r="O11" i="6"/>
  <c r="O14" i="6"/>
  <c r="O13" i="6"/>
  <c r="O19" i="6"/>
  <c r="O17" i="6"/>
  <c r="S15" i="6"/>
  <c r="S22" i="6" s="1"/>
  <c r="S14" i="6"/>
  <c r="S17" i="6"/>
  <c r="S16" i="6"/>
  <c r="K17" i="6"/>
  <c r="K16" i="6"/>
  <c r="G18" i="6"/>
  <c r="G17" i="6"/>
  <c r="G20" i="6"/>
  <c r="G19" i="6"/>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2" i="1"/>
  <c r="P14" i="4"/>
  <c r="Q14" i="4"/>
  <c r="I37" i="4"/>
  <c r="I38" i="4"/>
  <c r="I39" i="4"/>
  <c r="I36" i="4"/>
  <c r="F28" i="4"/>
  <c r="G28" i="4"/>
  <c r="S20" i="6" l="1"/>
  <c r="K20" i="6"/>
  <c r="O16" i="6"/>
  <c r="S19" i="6"/>
  <c r="K19" i="6"/>
  <c r="G22" i="6"/>
  <c r="G25" i="6"/>
  <c r="G23" i="6"/>
</calcChain>
</file>

<file path=xl/sharedStrings.xml><?xml version="1.0" encoding="utf-8"?>
<sst xmlns="http://schemas.openxmlformats.org/spreadsheetml/2006/main" count="545" uniqueCount="53">
  <si>
    <t>sexo</t>
  </si>
  <si>
    <t>30-34</t>
  </si>
  <si>
    <t>M</t>
  </si>
  <si>
    <t>35-39</t>
  </si>
  <si>
    <t>40-44</t>
  </si>
  <si>
    <t>45-49</t>
  </si>
  <si>
    <t>F</t>
  </si>
  <si>
    <t>id_do_respondente</t>
  </si>
  <si>
    <t>faixa_etária</t>
  </si>
  <si>
    <t>escolaridade</t>
  </si>
  <si>
    <t>Menos de 18</t>
  </si>
  <si>
    <t>18-24</t>
  </si>
  <si>
    <t>25-29</t>
  </si>
  <si>
    <t>50-54</t>
  </si>
  <si>
    <t>Ensino Fundamental</t>
  </si>
  <si>
    <t>Ensino Médio</t>
  </si>
  <si>
    <t>Ensino Superior</t>
  </si>
  <si>
    <t>Pós Graduação</t>
  </si>
  <si>
    <t>valor_que_pagaria</t>
  </si>
  <si>
    <t>interesse_no_Curso</t>
  </si>
  <si>
    <t>Variável</t>
  </si>
  <si>
    <t>Descrição</t>
  </si>
  <si>
    <t>Identificação única respondente da pesquisa.</t>
  </si>
  <si>
    <t>Valor 1 se o respondente teria interesse no curso. Valor 0 caso contrário.</t>
  </si>
  <si>
    <t>Valor que o respondente pagaria em caso de interesse no curso.</t>
  </si>
  <si>
    <t>Sexo do respondente da pesquisa.</t>
  </si>
  <si>
    <t>Faixa de idade do respondente da pesquisa.</t>
  </si>
  <si>
    <t>Nível de escolaridade do respondente da pesquisa.</t>
  </si>
  <si>
    <t>Rótulos de Linha</t>
  </si>
  <si>
    <t>Total Geral</t>
  </si>
  <si>
    <t>Interesse no Curso</t>
  </si>
  <si>
    <t>Freq Rel</t>
  </si>
  <si>
    <t>Freq Abs</t>
  </si>
  <si>
    <t>Freq Acum</t>
  </si>
  <si>
    <t>Valor que Pagaria</t>
  </si>
  <si>
    <t>Sexo</t>
  </si>
  <si>
    <t>(Tudo)</t>
  </si>
  <si>
    <t>Interesse</t>
  </si>
  <si>
    <t>Escolaridade</t>
  </si>
  <si>
    <t>Interesse x Escolaridade</t>
  </si>
  <si>
    <t>Faixa etária</t>
  </si>
  <si>
    <t>0-18</t>
  </si>
  <si>
    <t>valor_que_pagaria_interessados</t>
  </si>
  <si>
    <t>n</t>
  </si>
  <si>
    <t>limite inferior</t>
  </si>
  <si>
    <t>limite superior</t>
  </si>
  <si>
    <t>E</t>
  </si>
  <si>
    <t>z</t>
  </si>
  <si>
    <t>média</t>
  </si>
  <si>
    <t>var</t>
  </si>
  <si>
    <t>Média</t>
  </si>
  <si>
    <t>Var.</t>
  </si>
  <si>
    <t>tn-1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</si>
</sst>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0.0"/>
  </numFmts>
  <fonts count="6" x14ac:knownFonts="1">
    <font>
      <sz val="12"/>
      <color theme="1"/>
      <name val="Calibri"/>
      <family val="2"/>
      <scheme val="minor"/>
    </font>
    <font>
      <b/>
      <sz val="16"/>
      <color theme="1"/>
      <name val="Calibri"/>
      <family val="2"/>
      <scheme val="minor"/>
    </font>
    <font>
      <b/>
      <sz val="20"/>
      <color rgb="FF000000"/>
      <name val="Calibri"/>
      <family val="2"/>
      <scheme val="minor"/>
    </font>
    <font>
      <sz val="20"/>
      <color rgb="FF000000"/>
      <name val="Calibri"/>
      <family val="2"/>
      <scheme val="minor"/>
    </font>
    <font>
      <sz val="12"/>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C6E0B4"/>
        <bgColor indexed="64"/>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23">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0" fontId="0" fillId="4" borderId="0" xfId="0" applyNumberFormat="1" applyFill="1"/>
    <xf numFmtId="10" fontId="0" fillId="5" borderId="0" xfId="0" applyNumberFormat="1" applyFill="1"/>
    <xf numFmtId="0" fontId="0" fillId="5" borderId="0" xfId="0" applyNumberFormat="1" applyFill="1"/>
    <xf numFmtId="0" fontId="0" fillId="6" borderId="0" xfId="0" applyFill="1" applyAlignment="1">
      <alignment horizontal="left"/>
    </xf>
    <xf numFmtId="10" fontId="0" fillId="7" borderId="0" xfId="0" applyNumberFormat="1" applyFill="1"/>
    <xf numFmtId="0" fontId="0" fillId="7" borderId="0" xfId="0" applyNumberFormat="1" applyFill="1"/>
    <xf numFmtId="0" fontId="0" fillId="7" borderId="0" xfId="2" applyNumberFormat="1" applyFont="1" applyFill="1"/>
    <xf numFmtId="164" fontId="0" fillId="0" borderId="0" xfId="0" applyNumberFormat="1"/>
    <xf numFmtId="9" fontId="0" fillId="0" borderId="0" xfId="2" applyFont="1"/>
    <xf numFmtId="0" fontId="5" fillId="0" borderId="0" xfId="0" applyFont="1"/>
    <xf numFmtId="44" fontId="0" fillId="0" borderId="0" xfId="1" applyFont="1"/>
    <xf numFmtId="0" fontId="0" fillId="0" borderId="0" xfId="1" applyNumberFormat="1" applyFont="1"/>
    <xf numFmtId="44" fontId="0" fillId="0" borderId="0" xfId="0" applyNumberFormat="1"/>
    <xf numFmtId="0" fontId="5" fillId="0" borderId="0" xfId="0" applyFont="1" applyAlignment="1">
      <alignment horizontal="left"/>
    </xf>
    <xf numFmtId="44" fontId="5" fillId="0" borderId="0" xfId="1" applyFont="1"/>
  </cellXfs>
  <cellStyles count="3">
    <cellStyle name="Moeda" xfId="1" builtinId="4"/>
    <cellStyle name="Normal" xfId="0" builtinId="0"/>
    <cellStyle name="Porcentagem" xfId="2" builtinId="5"/>
  </cellStyles>
  <dxfs count="34">
    <dxf>
      <numFmt numFmtId="164" formatCode="0.0"/>
    </dxf>
    <dxf>
      <numFmt numFmtId="164" formatCode="0.0"/>
    </dxf>
    <dxf>
      <numFmt numFmtId="164" formatCode="0.0"/>
    </dxf>
    <dxf>
      <numFmt numFmtId="164" formatCode="0.0"/>
    </dxf>
    <dxf>
      <fill>
        <patternFill>
          <bgColor theme="5" tint="0.79998168889431442"/>
        </patternFill>
      </fill>
    </dxf>
    <dxf>
      <fill>
        <patternFill>
          <bgColor theme="5" tint="0.79998168889431442"/>
        </patternFill>
      </fill>
    </dxf>
    <dxf>
      <fill>
        <patternFill>
          <bgColor theme="0"/>
        </patternFill>
      </fill>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5" tint="0.79998168889431442"/>
        </patternFill>
      </fill>
    </dxf>
    <dxf>
      <fill>
        <patternFill>
          <bgColor theme="5" tint="0.79998168889431442"/>
        </patternFill>
      </fill>
    </dxf>
    <dxf>
      <fill>
        <patternFill>
          <bgColor theme="0"/>
        </patternFill>
      </fill>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[análise_startup.xlsx]AED!Tabela dinâmica1</c:name>
    <c:fmtId val="6"/>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pt-BR" sz="1200"/>
              <a:t>interessados x não interessados</a:t>
            </a:r>
          </a:p>
        </c:rich>
      </c:tx>
      <c:layout>
        <c:manualLayout>
          <c:xMode val="edge"/>
          <c:yMode val="edge"/>
          <c:x val="0.10106400182958053"/>
          <c:y val="5.142066456147857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pt-B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7.49999999999999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6.666666666666668E-2"/>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AED!$B$3</c:f>
              <c:strCache>
                <c:ptCount val="1"/>
                <c:pt idx="0">
                  <c:v>Freq Abs</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1773-4A85-A1A1-18F43D70DE71}"/>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1773-4A85-A1A1-18F43D70DE71}"/>
              </c:ext>
            </c:extLst>
          </c:dPt>
          <c:cat>
            <c:strRef>
              <c:f>AED!$A$4:$A$6</c:f>
              <c:strCache>
                <c:ptCount val="2"/>
                <c:pt idx="0">
                  <c:v>0</c:v>
                </c:pt>
                <c:pt idx="1">
                  <c:v>1</c:v>
                </c:pt>
              </c:strCache>
            </c:strRef>
          </c:cat>
          <c:val>
            <c:numRef>
              <c:f>AED!$B$4:$B$6</c:f>
              <c:numCache>
                <c:formatCode>General</c:formatCode>
                <c:ptCount val="2"/>
                <c:pt idx="0">
                  <c:v>81</c:v>
                </c:pt>
                <c:pt idx="1">
                  <c:v>39</c:v>
                </c:pt>
              </c:numCache>
            </c:numRef>
          </c:val>
          <c:extLst>
            <c:ext xmlns:c16="http://schemas.microsoft.com/office/drawing/2014/chart" uri="{C3380CC4-5D6E-409C-BE32-E72D297353CC}">
              <c16:uniqueId val="{00000004-1773-4A85-A1A1-18F43D70DE71}"/>
            </c:ext>
          </c:extLst>
        </c:ser>
        <c:ser>
          <c:idx val="1"/>
          <c:order val="1"/>
          <c:tx>
            <c:strRef>
              <c:f>AED!$C$3</c:f>
              <c:strCache>
                <c:ptCount val="1"/>
                <c:pt idx="0">
                  <c:v>Freq Rel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6-1773-4A85-A1A1-18F43D70DE71}"/>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8-1773-4A85-A1A1-18F43D70DE71}"/>
              </c:ext>
            </c:extLst>
          </c:dPt>
          <c:dLbls>
            <c:dLbl>
              <c:idx val="0"/>
              <c:layout>
                <c:manualLayout>
                  <c:x val="7.49999999999999E-2"/>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773-4A85-A1A1-18F43D70DE71}"/>
                </c:ext>
              </c:extLst>
            </c:dLbl>
            <c:dLbl>
              <c:idx val="1"/>
              <c:layout>
                <c:manualLayout>
                  <c:x val="-6.666666666666668E-2"/>
                  <c:y val="-7.40740740740740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773-4A85-A1A1-18F43D70DE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AED!$A$4:$A$6</c:f>
              <c:strCache>
                <c:ptCount val="2"/>
                <c:pt idx="0">
                  <c:v>0</c:v>
                </c:pt>
                <c:pt idx="1">
                  <c:v>1</c:v>
                </c:pt>
              </c:strCache>
            </c:strRef>
          </c:cat>
          <c:val>
            <c:numRef>
              <c:f>AED!$C$4:$C$6</c:f>
              <c:numCache>
                <c:formatCode>0.00%</c:formatCode>
                <c:ptCount val="2"/>
                <c:pt idx="0">
                  <c:v>0.67500000000000004</c:v>
                </c:pt>
                <c:pt idx="1">
                  <c:v>0.32500000000000001</c:v>
                </c:pt>
              </c:numCache>
            </c:numRef>
          </c:val>
          <c:extLst>
            <c:ext xmlns:c16="http://schemas.microsoft.com/office/drawing/2014/chart" uri="{C3380CC4-5D6E-409C-BE32-E72D297353CC}">
              <c16:uniqueId val="{00000009-1773-4A85-A1A1-18F43D70DE71}"/>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[análise_startup.xlsx]AED!Tabela dinâmica2</c:name>
    <c:fmtId val="3"/>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pt-BR" sz="1200"/>
              <a:t>interessados x valor que pagariam</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pt-B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6"/>
          <c:spPr>
            <a:solidFill>
              <a:schemeClr val="accent4"/>
            </a:solidFill>
            <a:ln>
              <a:noFill/>
            </a:ln>
            <a:effectLst/>
          </c:spPr>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6"/>
          <c:spPr>
            <a:solidFill>
              <a:schemeClr val="accent4"/>
            </a:solidFill>
            <a:ln>
              <a:noFill/>
            </a:ln>
            <a:effectLst/>
          </c:spPr>
        </c:marker>
        <c:dLbl>
          <c:idx val="0"/>
          <c:layout>
            <c:manualLayout>
              <c:x val="-7.7837931448319839E-2"/>
              <c:y val="-3.8230732855452303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6"/>
          <c:spPr>
            <a:solidFill>
              <a:schemeClr val="accent4"/>
            </a:solidFill>
            <a:ln>
              <a:noFill/>
            </a:ln>
            <a:effectLst/>
          </c:spPr>
        </c:marker>
        <c:dLbl>
          <c:idx val="0"/>
          <c:layout>
            <c:manualLayout>
              <c:x val="-6.8882808179990429E-2"/>
              <c:y val="-5.1831685657114435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AED!$F$3</c:f>
              <c:strCache>
                <c:ptCount val="1"/>
                <c:pt idx="0">
                  <c:v>Freq Abs</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AED!$E$4:$E$26</c:f>
              <c:strCache>
                <c:ptCount val="22"/>
                <c:pt idx="0">
                  <c:v>73</c:v>
                </c:pt>
                <c:pt idx="1">
                  <c:v>74</c:v>
                </c:pt>
                <c:pt idx="2">
                  <c:v>80</c:v>
                </c:pt>
                <c:pt idx="3">
                  <c:v>82</c:v>
                </c:pt>
                <c:pt idx="4">
                  <c:v>84</c:v>
                </c:pt>
                <c:pt idx="5">
                  <c:v>86</c:v>
                </c:pt>
                <c:pt idx="6">
                  <c:v>87</c:v>
                </c:pt>
                <c:pt idx="7">
                  <c:v>88</c:v>
                </c:pt>
                <c:pt idx="8">
                  <c:v>89</c:v>
                </c:pt>
                <c:pt idx="9">
                  <c:v>90</c:v>
                </c:pt>
                <c:pt idx="10">
                  <c:v>91</c:v>
                </c:pt>
                <c:pt idx="11">
                  <c:v>92</c:v>
                </c:pt>
                <c:pt idx="12">
                  <c:v>94</c:v>
                </c:pt>
                <c:pt idx="13">
                  <c:v>95</c:v>
                </c:pt>
                <c:pt idx="14">
                  <c:v>96</c:v>
                </c:pt>
                <c:pt idx="15">
                  <c:v>97</c:v>
                </c:pt>
                <c:pt idx="16">
                  <c:v>98</c:v>
                </c:pt>
                <c:pt idx="17">
                  <c:v>99</c:v>
                </c:pt>
                <c:pt idx="18">
                  <c:v>103</c:v>
                </c:pt>
                <c:pt idx="19">
                  <c:v>105</c:v>
                </c:pt>
                <c:pt idx="20">
                  <c:v>106</c:v>
                </c:pt>
                <c:pt idx="21">
                  <c:v>110</c:v>
                </c:pt>
              </c:strCache>
            </c:strRef>
          </c:cat>
          <c:val>
            <c:numRef>
              <c:f>AED!$F$4:$F$26</c:f>
              <c:numCache>
                <c:formatCode>General</c:formatCode>
                <c:ptCount val="22"/>
                <c:pt idx="0">
                  <c:v>1</c:v>
                </c:pt>
                <c:pt idx="1">
                  <c:v>1</c:v>
                </c:pt>
                <c:pt idx="2">
                  <c:v>1</c:v>
                </c:pt>
                <c:pt idx="3">
                  <c:v>1</c:v>
                </c:pt>
                <c:pt idx="4">
                  <c:v>2</c:v>
                </c:pt>
                <c:pt idx="5">
                  <c:v>4</c:v>
                </c:pt>
                <c:pt idx="6">
                  <c:v>1</c:v>
                </c:pt>
                <c:pt idx="7">
                  <c:v>3</c:v>
                </c:pt>
                <c:pt idx="8">
                  <c:v>3</c:v>
                </c:pt>
                <c:pt idx="9">
                  <c:v>3</c:v>
                </c:pt>
                <c:pt idx="10">
                  <c:v>2</c:v>
                </c:pt>
                <c:pt idx="11">
                  <c:v>2</c:v>
                </c:pt>
                <c:pt idx="12">
                  <c:v>3</c:v>
                </c:pt>
                <c:pt idx="13">
                  <c:v>1</c:v>
                </c:pt>
                <c:pt idx="14">
                  <c:v>1</c:v>
                </c:pt>
                <c:pt idx="15">
                  <c:v>2</c:v>
                </c:pt>
                <c:pt idx="16">
                  <c:v>1</c:v>
                </c:pt>
                <c:pt idx="17">
                  <c:v>2</c:v>
                </c:pt>
                <c:pt idx="18">
                  <c:v>1</c:v>
                </c:pt>
                <c:pt idx="19">
                  <c:v>2</c:v>
                </c:pt>
                <c:pt idx="20">
                  <c:v>1</c:v>
                </c:pt>
                <c:pt idx="21">
                  <c:v>1</c:v>
                </c:pt>
              </c:numCache>
            </c:numRef>
          </c:val>
          <c:extLst>
            <c:ext xmlns:c16="http://schemas.microsoft.com/office/drawing/2014/chart" uri="{C3380CC4-5D6E-409C-BE32-E72D297353CC}">
              <c16:uniqueId val="{00000000-D460-4D4E-82CA-0007FC75F2C6}"/>
            </c:ext>
          </c:extLst>
        </c:ser>
        <c:dLbls>
          <c:showLegendKey val="0"/>
          <c:showVal val="0"/>
          <c:showCatName val="0"/>
          <c:showSerName val="0"/>
          <c:showPercent val="0"/>
          <c:showBubbleSize val="0"/>
        </c:dLbls>
        <c:gapWidth val="219"/>
        <c:overlap val="-27"/>
        <c:axId val="1197514768"/>
        <c:axId val="1197515600"/>
      </c:barChart>
      <c:barChart>
        <c:barDir val="col"/>
        <c:grouping val="clustered"/>
        <c:varyColors val="0"/>
        <c:ser>
          <c:idx val="1"/>
          <c:order val="1"/>
          <c:tx>
            <c:strRef>
              <c:f>AED!$G$3</c:f>
              <c:strCache>
                <c:ptCount val="1"/>
                <c:pt idx="0">
                  <c:v>Freq Rel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AED!$E$4:$E$26</c:f>
              <c:strCache>
                <c:ptCount val="22"/>
                <c:pt idx="0">
                  <c:v>73</c:v>
                </c:pt>
                <c:pt idx="1">
                  <c:v>74</c:v>
                </c:pt>
                <c:pt idx="2">
                  <c:v>80</c:v>
                </c:pt>
                <c:pt idx="3">
                  <c:v>82</c:v>
                </c:pt>
                <c:pt idx="4">
                  <c:v>84</c:v>
                </c:pt>
                <c:pt idx="5">
                  <c:v>86</c:v>
                </c:pt>
                <c:pt idx="6">
                  <c:v>87</c:v>
                </c:pt>
                <c:pt idx="7">
                  <c:v>88</c:v>
                </c:pt>
                <c:pt idx="8">
                  <c:v>89</c:v>
                </c:pt>
                <c:pt idx="9">
                  <c:v>90</c:v>
                </c:pt>
                <c:pt idx="10">
                  <c:v>91</c:v>
                </c:pt>
                <c:pt idx="11">
                  <c:v>92</c:v>
                </c:pt>
                <c:pt idx="12">
                  <c:v>94</c:v>
                </c:pt>
                <c:pt idx="13">
                  <c:v>95</c:v>
                </c:pt>
                <c:pt idx="14">
                  <c:v>96</c:v>
                </c:pt>
                <c:pt idx="15">
                  <c:v>97</c:v>
                </c:pt>
                <c:pt idx="16">
                  <c:v>98</c:v>
                </c:pt>
                <c:pt idx="17">
                  <c:v>99</c:v>
                </c:pt>
                <c:pt idx="18">
                  <c:v>103</c:v>
                </c:pt>
                <c:pt idx="19">
                  <c:v>105</c:v>
                </c:pt>
                <c:pt idx="20">
                  <c:v>106</c:v>
                </c:pt>
                <c:pt idx="21">
                  <c:v>110</c:v>
                </c:pt>
              </c:strCache>
            </c:strRef>
          </c:cat>
          <c:val>
            <c:numRef>
              <c:f>AED!$G$4:$G$26</c:f>
              <c:numCache>
                <c:formatCode>0.00%</c:formatCode>
                <c:ptCount val="22"/>
                <c:pt idx="0">
                  <c:v>2.564102564102564E-2</c:v>
                </c:pt>
                <c:pt idx="1">
                  <c:v>2.564102564102564E-2</c:v>
                </c:pt>
                <c:pt idx="2">
                  <c:v>2.564102564102564E-2</c:v>
                </c:pt>
                <c:pt idx="3">
                  <c:v>2.564102564102564E-2</c:v>
                </c:pt>
                <c:pt idx="4">
                  <c:v>5.128205128205128E-2</c:v>
                </c:pt>
                <c:pt idx="5">
                  <c:v>0.10256410256410256</c:v>
                </c:pt>
                <c:pt idx="6">
                  <c:v>2.564102564102564E-2</c:v>
                </c:pt>
                <c:pt idx="7">
                  <c:v>7.6923076923076927E-2</c:v>
                </c:pt>
                <c:pt idx="8">
                  <c:v>7.6923076923076927E-2</c:v>
                </c:pt>
                <c:pt idx="9">
                  <c:v>7.6923076923076927E-2</c:v>
                </c:pt>
                <c:pt idx="10">
                  <c:v>5.128205128205128E-2</c:v>
                </c:pt>
                <c:pt idx="11">
                  <c:v>5.128205128205128E-2</c:v>
                </c:pt>
                <c:pt idx="12">
                  <c:v>7.6923076923076927E-2</c:v>
                </c:pt>
                <c:pt idx="13">
                  <c:v>2.564102564102564E-2</c:v>
                </c:pt>
                <c:pt idx="14">
                  <c:v>2.564102564102564E-2</c:v>
                </c:pt>
                <c:pt idx="15">
                  <c:v>5.128205128205128E-2</c:v>
                </c:pt>
                <c:pt idx="16">
                  <c:v>2.564102564102564E-2</c:v>
                </c:pt>
                <c:pt idx="17">
                  <c:v>5.128205128205128E-2</c:v>
                </c:pt>
                <c:pt idx="18">
                  <c:v>2.564102564102564E-2</c:v>
                </c:pt>
                <c:pt idx="19">
                  <c:v>5.128205128205128E-2</c:v>
                </c:pt>
                <c:pt idx="20">
                  <c:v>2.564102564102564E-2</c:v>
                </c:pt>
                <c:pt idx="21">
                  <c:v>2.564102564102564E-2</c:v>
                </c:pt>
              </c:numCache>
            </c:numRef>
          </c:val>
          <c:extLst>
            <c:ext xmlns:c16="http://schemas.microsoft.com/office/drawing/2014/chart" uri="{C3380CC4-5D6E-409C-BE32-E72D297353CC}">
              <c16:uniqueId val="{00000001-D460-4D4E-82CA-0007FC75F2C6}"/>
            </c:ext>
          </c:extLst>
        </c:ser>
        <c:dLbls>
          <c:showLegendKey val="0"/>
          <c:showVal val="0"/>
          <c:showCatName val="0"/>
          <c:showSerName val="0"/>
          <c:showPercent val="0"/>
          <c:showBubbleSize val="0"/>
        </c:dLbls>
        <c:gapWidth val="219"/>
        <c:overlap val="-27"/>
        <c:axId val="1003892800"/>
        <c:axId val="1003893632"/>
      </c:barChart>
      <c:lineChart>
        <c:grouping val="standard"/>
        <c:varyColors val="0"/>
        <c:ser>
          <c:idx val="2"/>
          <c:order val="2"/>
          <c:tx>
            <c:strRef>
              <c:f>AED!$H$3</c:f>
              <c:strCache>
                <c:ptCount val="1"/>
                <c:pt idx="0">
                  <c:v>Freq Acum</c:v>
                </c:pt>
              </c:strCache>
            </c:strRef>
          </c:tx>
          <c:spPr>
            <a:ln w="28575" cap="rnd">
              <a:solidFill>
                <a:schemeClr val="accent4"/>
              </a:solidFill>
              <a:round/>
            </a:ln>
            <a:effectLst/>
          </c:spPr>
          <c:marker>
            <c:symbol val="circle"/>
            <c:size val="6"/>
            <c:spPr>
              <a:solidFill>
                <a:schemeClr val="accent4"/>
              </a:solidFill>
              <a:ln>
                <a:noFill/>
              </a:ln>
              <a:effectLst/>
            </c:spPr>
          </c:marker>
          <c:dPt>
            <c:idx val="9"/>
            <c:marker>
              <c:symbol val="circle"/>
              <c:size val="6"/>
              <c:spPr>
                <a:solidFill>
                  <a:schemeClr val="accent4"/>
                </a:solidFill>
                <a:ln>
                  <a:noFill/>
                </a:ln>
                <a:effectLst/>
              </c:spPr>
            </c:marker>
            <c:bubble3D val="0"/>
            <c:extLst>
              <c:ext xmlns:c16="http://schemas.microsoft.com/office/drawing/2014/chart" uri="{C3380CC4-5D6E-409C-BE32-E72D297353CC}">
                <c16:uniqueId val="{00000004-D460-4D4E-82CA-0007FC75F2C6}"/>
              </c:ext>
            </c:extLst>
          </c:dPt>
          <c:dPt>
            <c:idx val="16"/>
            <c:marker>
              <c:symbol val="circle"/>
              <c:size val="6"/>
              <c:spPr>
                <a:solidFill>
                  <a:schemeClr val="accent4"/>
                </a:solidFill>
                <a:ln>
                  <a:noFill/>
                </a:ln>
                <a:effectLst/>
              </c:spPr>
            </c:marker>
            <c:bubble3D val="0"/>
            <c:extLst>
              <c:ext xmlns:c16="http://schemas.microsoft.com/office/drawing/2014/chart" uri="{C3380CC4-5D6E-409C-BE32-E72D297353CC}">
                <c16:uniqueId val="{00000005-D460-4D4E-82CA-0007FC75F2C6}"/>
              </c:ext>
            </c:extLst>
          </c:dPt>
          <c:dLbls>
            <c:dLbl>
              <c:idx val="9"/>
              <c:layout>
                <c:manualLayout>
                  <c:x val="-7.7837931448319839E-2"/>
                  <c:y val="-3.82307328554523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60-4D4E-82CA-0007FC75F2C6}"/>
                </c:ext>
              </c:extLst>
            </c:dLbl>
            <c:dLbl>
              <c:idx val="16"/>
              <c:layout>
                <c:manualLayout>
                  <c:x val="-6.8882808179990429E-2"/>
                  <c:y val="-5.18316856571144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60-4D4E-82CA-0007FC75F2C6}"/>
                </c:ext>
              </c:extLst>
            </c:dLbl>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AED!$E$4:$E$26</c:f>
              <c:strCache>
                <c:ptCount val="22"/>
                <c:pt idx="0">
                  <c:v>73</c:v>
                </c:pt>
                <c:pt idx="1">
                  <c:v>74</c:v>
                </c:pt>
                <c:pt idx="2">
                  <c:v>80</c:v>
                </c:pt>
                <c:pt idx="3">
                  <c:v>82</c:v>
                </c:pt>
                <c:pt idx="4">
                  <c:v>84</c:v>
                </c:pt>
                <c:pt idx="5">
                  <c:v>86</c:v>
                </c:pt>
                <c:pt idx="6">
                  <c:v>87</c:v>
                </c:pt>
                <c:pt idx="7">
                  <c:v>88</c:v>
                </c:pt>
                <c:pt idx="8">
                  <c:v>89</c:v>
                </c:pt>
                <c:pt idx="9">
                  <c:v>90</c:v>
                </c:pt>
                <c:pt idx="10">
                  <c:v>91</c:v>
                </c:pt>
                <c:pt idx="11">
                  <c:v>92</c:v>
                </c:pt>
                <c:pt idx="12">
                  <c:v>94</c:v>
                </c:pt>
                <c:pt idx="13">
                  <c:v>95</c:v>
                </c:pt>
                <c:pt idx="14">
                  <c:v>96</c:v>
                </c:pt>
                <c:pt idx="15">
                  <c:v>97</c:v>
                </c:pt>
                <c:pt idx="16">
                  <c:v>98</c:v>
                </c:pt>
                <c:pt idx="17">
                  <c:v>99</c:v>
                </c:pt>
                <c:pt idx="18">
                  <c:v>103</c:v>
                </c:pt>
                <c:pt idx="19">
                  <c:v>105</c:v>
                </c:pt>
                <c:pt idx="20">
                  <c:v>106</c:v>
                </c:pt>
                <c:pt idx="21">
                  <c:v>110</c:v>
                </c:pt>
              </c:strCache>
            </c:strRef>
          </c:cat>
          <c:val>
            <c:numRef>
              <c:f>AED!$H$4:$H$26</c:f>
              <c:numCache>
                <c:formatCode>0.00%</c:formatCode>
                <c:ptCount val="22"/>
                <c:pt idx="0">
                  <c:v>2.564102564102564E-2</c:v>
                </c:pt>
                <c:pt idx="1">
                  <c:v>5.128205128205128E-2</c:v>
                </c:pt>
                <c:pt idx="2">
                  <c:v>7.6923076923076927E-2</c:v>
                </c:pt>
                <c:pt idx="3">
                  <c:v>0.10256410256410256</c:v>
                </c:pt>
                <c:pt idx="4">
                  <c:v>0.15384615384615385</c:v>
                </c:pt>
                <c:pt idx="5">
                  <c:v>0.25641025641025639</c:v>
                </c:pt>
                <c:pt idx="6">
                  <c:v>0.28205128205128205</c:v>
                </c:pt>
                <c:pt idx="7">
                  <c:v>0.35897435897435898</c:v>
                </c:pt>
                <c:pt idx="8">
                  <c:v>0.4358974358974359</c:v>
                </c:pt>
                <c:pt idx="9">
                  <c:v>0.51282051282051277</c:v>
                </c:pt>
                <c:pt idx="10">
                  <c:v>0.5641025641025641</c:v>
                </c:pt>
                <c:pt idx="11">
                  <c:v>0.61538461538461542</c:v>
                </c:pt>
                <c:pt idx="12">
                  <c:v>0.69230769230769229</c:v>
                </c:pt>
                <c:pt idx="13">
                  <c:v>0.71794871794871795</c:v>
                </c:pt>
                <c:pt idx="14">
                  <c:v>0.74358974358974361</c:v>
                </c:pt>
                <c:pt idx="15">
                  <c:v>0.79487179487179482</c:v>
                </c:pt>
                <c:pt idx="16">
                  <c:v>0.82051282051282048</c:v>
                </c:pt>
                <c:pt idx="17">
                  <c:v>0.87179487179487181</c:v>
                </c:pt>
                <c:pt idx="18">
                  <c:v>0.89743589743589747</c:v>
                </c:pt>
                <c:pt idx="19">
                  <c:v>0.94871794871794868</c:v>
                </c:pt>
                <c:pt idx="20">
                  <c:v>0.97435897435897434</c:v>
                </c:pt>
                <c:pt idx="21">
                  <c:v>1</c:v>
                </c:pt>
              </c:numCache>
            </c:numRef>
          </c:val>
          <c:smooth val="0"/>
          <c:extLst>
            <c:ext xmlns:c16="http://schemas.microsoft.com/office/drawing/2014/chart" uri="{C3380CC4-5D6E-409C-BE32-E72D297353CC}">
              <c16:uniqueId val="{00000002-D460-4D4E-82CA-0007FC75F2C6}"/>
            </c:ext>
          </c:extLst>
        </c:ser>
        <c:dLbls>
          <c:showLegendKey val="0"/>
          <c:showVal val="0"/>
          <c:showCatName val="0"/>
          <c:showSerName val="0"/>
          <c:showPercent val="0"/>
          <c:showBubbleSize val="0"/>
        </c:dLbls>
        <c:marker val="1"/>
        <c:smooth val="0"/>
        <c:axId val="1003892800"/>
        <c:axId val="1003893632"/>
      </c:lineChart>
      <c:catAx>
        <c:axId val="11975147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97515600"/>
        <c:crosses val="autoZero"/>
        <c:auto val="1"/>
        <c:lblAlgn val="ctr"/>
        <c:lblOffset val="100"/>
        <c:noMultiLvlLbl val="0"/>
      </c:catAx>
      <c:valAx>
        <c:axId val="119751560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97514768"/>
        <c:crosses val="autoZero"/>
        <c:crossBetween val="between"/>
      </c:valAx>
      <c:valAx>
        <c:axId val="100389363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03892800"/>
        <c:crosses val="max"/>
        <c:crossBetween val="between"/>
      </c:valAx>
      <c:catAx>
        <c:axId val="1003892800"/>
        <c:scaling>
          <c:orientation val="minMax"/>
        </c:scaling>
        <c:delete val="1"/>
        <c:axPos val="b"/>
        <c:numFmt formatCode="General" sourceLinked="1"/>
        <c:majorTickMark val="none"/>
        <c:minorTickMark val="none"/>
        <c:tickLblPos val="nextTo"/>
        <c:crossAx val="10038936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[análise_startup.xlsx]AED!Tabela dinâmica7</c:name>
    <c:fmtId val="3"/>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pt-BR" sz="1200"/>
              <a:t>valor que pagaria x sexo feminino</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pt-B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AED!$P$4</c:f>
              <c:strCache>
                <c:ptCount val="1"/>
                <c:pt idx="0">
                  <c:v>Freq Abs</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AED!$O$5:$O$12</c:f>
              <c:strCache>
                <c:ptCount val="7"/>
                <c:pt idx="0">
                  <c:v>73</c:v>
                </c:pt>
                <c:pt idx="1">
                  <c:v>74</c:v>
                </c:pt>
                <c:pt idx="2">
                  <c:v>80</c:v>
                </c:pt>
                <c:pt idx="3">
                  <c:v>82</c:v>
                </c:pt>
                <c:pt idx="4">
                  <c:v>84</c:v>
                </c:pt>
                <c:pt idx="5">
                  <c:v>86</c:v>
                </c:pt>
                <c:pt idx="6">
                  <c:v>87</c:v>
                </c:pt>
              </c:strCache>
            </c:strRef>
          </c:cat>
          <c:val>
            <c:numRef>
              <c:f>AED!$P$5:$P$12</c:f>
              <c:numCache>
                <c:formatCode>General</c:formatCode>
                <c:ptCount val="7"/>
                <c:pt idx="0">
                  <c:v>1</c:v>
                </c:pt>
                <c:pt idx="1">
                  <c:v>1</c:v>
                </c:pt>
                <c:pt idx="2">
                  <c:v>1</c:v>
                </c:pt>
                <c:pt idx="3">
                  <c:v>1</c:v>
                </c:pt>
                <c:pt idx="4">
                  <c:v>2</c:v>
                </c:pt>
                <c:pt idx="5">
                  <c:v>4</c:v>
                </c:pt>
                <c:pt idx="6">
                  <c:v>1</c:v>
                </c:pt>
              </c:numCache>
            </c:numRef>
          </c:val>
          <c:extLst>
            <c:ext xmlns:c16="http://schemas.microsoft.com/office/drawing/2014/chart" uri="{C3380CC4-5D6E-409C-BE32-E72D297353CC}">
              <c16:uniqueId val="{00000000-643D-47CA-83FC-29EE76CB504E}"/>
            </c:ext>
          </c:extLst>
        </c:ser>
        <c:dLbls>
          <c:showLegendKey val="0"/>
          <c:showVal val="0"/>
          <c:showCatName val="0"/>
          <c:showSerName val="0"/>
          <c:showPercent val="0"/>
          <c:showBubbleSize val="0"/>
        </c:dLbls>
        <c:gapWidth val="219"/>
        <c:overlap val="-27"/>
        <c:axId val="1210641120"/>
        <c:axId val="1210639040"/>
      </c:barChart>
      <c:barChart>
        <c:barDir val="col"/>
        <c:grouping val="clustered"/>
        <c:varyColors val="0"/>
        <c:ser>
          <c:idx val="1"/>
          <c:order val="1"/>
          <c:tx>
            <c:strRef>
              <c:f>AED!$Q$4</c:f>
              <c:strCache>
                <c:ptCount val="1"/>
                <c:pt idx="0">
                  <c:v>Freq Rel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AED!$O$5:$O$12</c:f>
              <c:strCache>
                <c:ptCount val="7"/>
                <c:pt idx="0">
                  <c:v>73</c:v>
                </c:pt>
                <c:pt idx="1">
                  <c:v>74</c:v>
                </c:pt>
                <c:pt idx="2">
                  <c:v>80</c:v>
                </c:pt>
                <c:pt idx="3">
                  <c:v>82</c:v>
                </c:pt>
                <c:pt idx="4">
                  <c:v>84</c:v>
                </c:pt>
                <c:pt idx="5">
                  <c:v>86</c:v>
                </c:pt>
                <c:pt idx="6">
                  <c:v>87</c:v>
                </c:pt>
              </c:strCache>
            </c:strRef>
          </c:cat>
          <c:val>
            <c:numRef>
              <c:f>AED!$Q$5:$Q$12</c:f>
              <c:numCache>
                <c:formatCode>0.00%</c:formatCode>
                <c:ptCount val="7"/>
                <c:pt idx="0">
                  <c:v>9.0909090909090912E-2</c:v>
                </c:pt>
                <c:pt idx="1">
                  <c:v>9.0909090909090912E-2</c:v>
                </c:pt>
                <c:pt idx="2">
                  <c:v>9.0909090909090912E-2</c:v>
                </c:pt>
                <c:pt idx="3">
                  <c:v>9.0909090909090912E-2</c:v>
                </c:pt>
                <c:pt idx="4">
                  <c:v>0.18181818181818182</c:v>
                </c:pt>
                <c:pt idx="5">
                  <c:v>0.36363636363636365</c:v>
                </c:pt>
                <c:pt idx="6">
                  <c:v>9.0909090909090912E-2</c:v>
                </c:pt>
              </c:numCache>
            </c:numRef>
          </c:val>
          <c:extLst>
            <c:ext xmlns:c16="http://schemas.microsoft.com/office/drawing/2014/chart" uri="{C3380CC4-5D6E-409C-BE32-E72D297353CC}">
              <c16:uniqueId val="{00000001-643D-47CA-83FC-29EE76CB504E}"/>
            </c:ext>
          </c:extLst>
        </c:ser>
        <c:dLbls>
          <c:showLegendKey val="0"/>
          <c:showVal val="0"/>
          <c:showCatName val="0"/>
          <c:showSerName val="0"/>
          <c:showPercent val="0"/>
          <c:showBubbleSize val="0"/>
        </c:dLbls>
        <c:gapWidth val="219"/>
        <c:overlap val="-27"/>
        <c:axId val="1210639456"/>
        <c:axId val="1210644032"/>
      </c:barChart>
      <c:lineChart>
        <c:grouping val="standard"/>
        <c:varyColors val="0"/>
        <c:ser>
          <c:idx val="2"/>
          <c:order val="2"/>
          <c:tx>
            <c:strRef>
              <c:f>AED!$R$4</c:f>
              <c:strCache>
                <c:ptCount val="1"/>
                <c:pt idx="0">
                  <c:v>Freq Acum</c:v>
                </c:pt>
              </c:strCache>
            </c:strRef>
          </c:tx>
          <c:spPr>
            <a:ln w="28575" cap="rnd">
              <a:solidFill>
                <a:schemeClr val="accent4"/>
              </a:solidFill>
              <a:round/>
            </a:ln>
            <a:effectLst/>
          </c:spPr>
          <c:marker>
            <c:symbol val="circle"/>
            <c:size val="6"/>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AED!$O$5:$O$12</c:f>
              <c:strCache>
                <c:ptCount val="7"/>
                <c:pt idx="0">
                  <c:v>73</c:v>
                </c:pt>
                <c:pt idx="1">
                  <c:v>74</c:v>
                </c:pt>
                <c:pt idx="2">
                  <c:v>80</c:v>
                </c:pt>
                <c:pt idx="3">
                  <c:v>82</c:v>
                </c:pt>
                <c:pt idx="4">
                  <c:v>84</c:v>
                </c:pt>
                <c:pt idx="5">
                  <c:v>86</c:v>
                </c:pt>
                <c:pt idx="6">
                  <c:v>87</c:v>
                </c:pt>
              </c:strCache>
            </c:strRef>
          </c:cat>
          <c:val>
            <c:numRef>
              <c:f>AED!$R$5:$R$12</c:f>
              <c:numCache>
                <c:formatCode>0.00%</c:formatCode>
                <c:ptCount val="7"/>
                <c:pt idx="0">
                  <c:v>9.0909090909090912E-2</c:v>
                </c:pt>
                <c:pt idx="1">
                  <c:v>0.18181818181818182</c:v>
                </c:pt>
                <c:pt idx="2">
                  <c:v>0.27272727272727271</c:v>
                </c:pt>
                <c:pt idx="3">
                  <c:v>0.36363636363636365</c:v>
                </c:pt>
                <c:pt idx="4">
                  <c:v>0.54545454545454541</c:v>
                </c:pt>
                <c:pt idx="5">
                  <c:v>0.90909090909090906</c:v>
                </c:pt>
                <c:pt idx="6">
                  <c:v>1</c:v>
                </c:pt>
              </c:numCache>
            </c:numRef>
          </c:val>
          <c:smooth val="0"/>
          <c:extLst>
            <c:ext xmlns:c16="http://schemas.microsoft.com/office/drawing/2014/chart" uri="{C3380CC4-5D6E-409C-BE32-E72D297353CC}">
              <c16:uniqueId val="{00000002-643D-47CA-83FC-29EE76CB504E}"/>
            </c:ext>
          </c:extLst>
        </c:ser>
        <c:dLbls>
          <c:showLegendKey val="0"/>
          <c:showVal val="0"/>
          <c:showCatName val="0"/>
          <c:showSerName val="0"/>
          <c:showPercent val="0"/>
          <c:showBubbleSize val="0"/>
        </c:dLbls>
        <c:marker val="1"/>
        <c:smooth val="0"/>
        <c:axId val="1210639456"/>
        <c:axId val="1210644032"/>
      </c:lineChart>
      <c:catAx>
        <c:axId val="121064112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10639040"/>
        <c:crosses val="autoZero"/>
        <c:auto val="1"/>
        <c:lblAlgn val="ctr"/>
        <c:lblOffset val="100"/>
        <c:noMultiLvlLbl val="0"/>
      </c:catAx>
      <c:valAx>
        <c:axId val="121063904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10641120"/>
        <c:crosses val="autoZero"/>
        <c:crossBetween val="between"/>
      </c:valAx>
      <c:valAx>
        <c:axId val="121064403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10639456"/>
        <c:crosses val="max"/>
        <c:crossBetween val="between"/>
      </c:valAx>
      <c:catAx>
        <c:axId val="1210639456"/>
        <c:scaling>
          <c:orientation val="minMax"/>
        </c:scaling>
        <c:delete val="1"/>
        <c:axPos val="b"/>
        <c:numFmt formatCode="General" sourceLinked="1"/>
        <c:majorTickMark val="none"/>
        <c:minorTickMark val="none"/>
        <c:tickLblPos val="nextTo"/>
        <c:crossAx val="12106440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[análise_startup.xlsx]AED!Tabela dinâmica8</c:name>
    <c:fmtId val="3"/>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pt-BR" sz="1200"/>
              <a:t>distribuição faixa etária</a:t>
            </a:r>
          </a:p>
        </c:rich>
      </c:tx>
      <c:layout>
        <c:manualLayout>
          <c:xMode val="edge"/>
          <c:yMode val="edge"/>
          <c:x val="0.19791666666666666"/>
          <c:y val="0.14147710702828814"/>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pt-B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AED!$V$4</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AED!$U$5:$U$14</c:f>
              <c:strCache>
                <c:ptCount val="9"/>
                <c:pt idx="0">
                  <c:v>Menos de 18</c:v>
                </c:pt>
                <c:pt idx="1">
                  <c:v>18-24</c:v>
                </c:pt>
                <c:pt idx="2">
                  <c:v>25-29</c:v>
                </c:pt>
                <c:pt idx="3">
                  <c:v>30-34</c:v>
                </c:pt>
                <c:pt idx="4">
                  <c:v>35-39</c:v>
                </c:pt>
                <c:pt idx="5">
                  <c:v>40-44</c:v>
                </c:pt>
                <c:pt idx="6">
                  <c:v>45-49</c:v>
                </c:pt>
                <c:pt idx="7">
                  <c:v>50-54</c:v>
                </c:pt>
                <c:pt idx="8">
                  <c:v>0-18</c:v>
                </c:pt>
              </c:strCache>
            </c:strRef>
          </c:cat>
          <c:val>
            <c:numRef>
              <c:f>AED!$V$5:$V$14</c:f>
              <c:numCache>
                <c:formatCode>0.00%</c:formatCode>
                <c:ptCount val="9"/>
                <c:pt idx="0">
                  <c:v>8.3333333333333332E-3</c:v>
                </c:pt>
                <c:pt idx="1">
                  <c:v>4.1666666666666664E-2</c:v>
                </c:pt>
                <c:pt idx="2">
                  <c:v>0.13333333333333333</c:v>
                </c:pt>
                <c:pt idx="3">
                  <c:v>0.2</c:v>
                </c:pt>
                <c:pt idx="4">
                  <c:v>0.3</c:v>
                </c:pt>
                <c:pt idx="5">
                  <c:v>0.15</c:v>
                </c:pt>
                <c:pt idx="6">
                  <c:v>0.11666666666666667</c:v>
                </c:pt>
                <c:pt idx="7">
                  <c:v>3.3333333333333333E-2</c:v>
                </c:pt>
                <c:pt idx="8">
                  <c:v>1.6666666666666666E-2</c:v>
                </c:pt>
              </c:numCache>
            </c:numRef>
          </c:val>
          <c:extLst>
            <c:ext xmlns:c16="http://schemas.microsoft.com/office/drawing/2014/chart" uri="{C3380CC4-5D6E-409C-BE32-E72D297353CC}">
              <c16:uniqueId val="{00000000-603B-472E-A979-FFEDCF750523}"/>
            </c:ext>
          </c:extLst>
        </c:ser>
        <c:dLbls>
          <c:dLblPos val="outEnd"/>
          <c:showLegendKey val="0"/>
          <c:showVal val="1"/>
          <c:showCatName val="0"/>
          <c:showSerName val="0"/>
          <c:showPercent val="0"/>
          <c:showBubbleSize val="0"/>
        </c:dLbls>
        <c:gapWidth val="164"/>
        <c:overlap val="-22"/>
        <c:axId val="1103616976"/>
        <c:axId val="1103614896"/>
      </c:barChart>
      <c:catAx>
        <c:axId val="110361697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3614896"/>
        <c:crosses val="autoZero"/>
        <c:auto val="1"/>
        <c:lblAlgn val="ctr"/>
        <c:lblOffset val="100"/>
        <c:noMultiLvlLbl val="0"/>
      </c:catAx>
      <c:valAx>
        <c:axId val="11036148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361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[análise_startup.xlsx]AED!Tabela dinâmica13</c:name>
    <c:fmtId val="3"/>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pt-BR" sz="1200"/>
              <a:t>interesse x escolaridade</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pt-B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AED!$F$34:$F$35</c:f>
              <c:strCache>
                <c:ptCount val="1"/>
                <c:pt idx="0">
                  <c:v>1</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AED!$E$36:$E$40</c:f>
              <c:strCache>
                <c:ptCount val="4"/>
                <c:pt idx="0">
                  <c:v>Ensino Fundamental</c:v>
                </c:pt>
                <c:pt idx="1">
                  <c:v>Ensino Médio</c:v>
                </c:pt>
                <c:pt idx="2">
                  <c:v>Ensino Superior</c:v>
                </c:pt>
                <c:pt idx="3">
                  <c:v>Pós Graduação</c:v>
                </c:pt>
              </c:strCache>
            </c:strRef>
          </c:cat>
          <c:val>
            <c:numRef>
              <c:f>AED!$F$36:$F$40</c:f>
              <c:numCache>
                <c:formatCode>General</c:formatCode>
                <c:ptCount val="4"/>
                <c:pt idx="0">
                  <c:v>8</c:v>
                </c:pt>
                <c:pt idx="1">
                  <c:v>10</c:v>
                </c:pt>
                <c:pt idx="2">
                  <c:v>8</c:v>
                </c:pt>
                <c:pt idx="3">
                  <c:v>13</c:v>
                </c:pt>
              </c:numCache>
            </c:numRef>
          </c:val>
          <c:extLst>
            <c:ext xmlns:c16="http://schemas.microsoft.com/office/drawing/2014/chart" uri="{C3380CC4-5D6E-409C-BE32-E72D297353CC}">
              <c16:uniqueId val="{00000000-20DE-40B0-A9E2-1857BF6BBECF}"/>
            </c:ext>
          </c:extLst>
        </c:ser>
        <c:ser>
          <c:idx val="1"/>
          <c:order val="1"/>
          <c:tx>
            <c:strRef>
              <c:f>AED!$G$34:$G$35</c:f>
              <c:strCache>
                <c:ptCount val="1"/>
                <c:pt idx="0">
                  <c:v>0</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AED!$E$36:$E$40</c:f>
              <c:strCache>
                <c:ptCount val="4"/>
                <c:pt idx="0">
                  <c:v>Ensino Fundamental</c:v>
                </c:pt>
                <c:pt idx="1">
                  <c:v>Ensino Médio</c:v>
                </c:pt>
                <c:pt idx="2">
                  <c:v>Ensino Superior</c:v>
                </c:pt>
                <c:pt idx="3">
                  <c:v>Pós Graduação</c:v>
                </c:pt>
              </c:strCache>
            </c:strRef>
          </c:cat>
          <c:val>
            <c:numRef>
              <c:f>AED!$G$36:$G$40</c:f>
              <c:numCache>
                <c:formatCode>General</c:formatCode>
                <c:ptCount val="4"/>
                <c:pt idx="0">
                  <c:v>23</c:v>
                </c:pt>
                <c:pt idx="1">
                  <c:v>17</c:v>
                </c:pt>
                <c:pt idx="2">
                  <c:v>19</c:v>
                </c:pt>
                <c:pt idx="3">
                  <c:v>22</c:v>
                </c:pt>
              </c:numCache>
            </c:numRef>
          </c:val>
          <c:extLst>
            <c:ext xmlns:c16="http://schemas.microsoft.com/office/drawing/2014/chart" uri="{C3380CC4-5D6E-409C-BE32-E72D297353CC}">
              <c16:uniqueId val="{00000001-20DE-40B0-A9E2-1857BF6BBECF}"/>
            </c:ext>
          </c:extLst>
        </c:ser>
        <c:dLbls>
          <c:showLegendKey val="0"/>
          <c:showVal val="0"/>
          <c:showCatName val="0"/>
          <c:showSerName val="0"/>
          <c:showPercent val="0"/>
          <c:showBubbleSize val="0"/>
        </c:dLbls>
        <c:gapWidth val="164"/>
        <c:overlap val="-22"/>
        <c:axId val="1241531152"/>
        <c:axId val="1241534896"/>
      </c:barChart>
      <c:catAx>
        <c:axId val="12415311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41534896"/>
        <c:crosses val="autoZero"/>
        <c:auto val="1"/>
        <c:lblAlgn val="ctr"/>
        <c:lblOffset val="100"/>
        <c:noMultiLvlLbl val="0"/>
      </c:catAx>
      <c:valAx>
        <c:axId val="124153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4153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[análise_startup.xlsx]AED!Tabela dinâmica9</c:name>
    <c:fmtId val="5"/>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pt-BR" sz="1200"/>
              <a:t>interesse x sexo</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pt-B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AED!$AA$4:$AA$5</c:f>
              <c:strCache>
                <c:ptCount val="1"/>
                <c:pt idx="0">
                  <c:v>F</c:v>
                </c:pt>
              </c:strCache>
            </c:strRef>
          </c:tx>
          <c:spPr>
            <a:pattFill prst="ltUpDiag">
              <a:fgClr>
                <a:schemeClr val="accent6"/>
              </a:fgClr>
              <a:bgClr>
                <a:schemeClr val="accent6">
                  <a:lumMod val="20000"/>
                  <a:lumOff val="80000"/>
                </a:schemeClr>
              </a:bgClr>
            </a:pattFill>
            <a:ln>
              <a:noFill/>
            </a:ln>
            <a:effectLst>
              <a:innerShdw blurRad="114300">
                <a:schemeClr val="accent6"/>
              </a:innerShdw>
            </a:effectLst>
          </c:spPr>
          <c:cat>
            <c:strRef>
              <c:f>AED!$Z$6:$Z$13</c:f>
              <c:strCache>
                <c:ptCount val="7"/>
                <c:pt idx="0">
                  <c:v>18-24</c:v>
                </c:pt>
                <c:pt idx="1">
                  <c:v>25-29</c:v>
                </c:pt>
                <c:pt idx="2">
                  <c:v>30-34</c:v>
                </c:pt>
                <c:pt idx="3">
                  <c:v>35-39</c:v>
                </c:pt>
                <c:pt idx="4">
                  <c:v>45-49</c:v>
                </c:pt>
                <c:pt idx="5">
                  <c:v>50-54</c:v>
                </c:pt>
                <c:pt idx="6">
                  <c:v>0-18</c:v>
                </c:pt>
              </c:strCache>
            </c:strRef>
          </c:cat>
          <c:val>
            <c:numRef>
              <c:f>AED!$AA$6:$AA$13</c:f>
              <c:numCache>
                <c:formatCode>General</c:formatCode>
                <c:ptCount val="7"/>
                <c:pt idx="0">
                  <c:v>2</c:v>
                </c:pt>
                <c:pt idx="1">
                  <c:v>4</c:v>
                </c:pt>
                <c:pt idx="2">
                  <c:v>3</c:v>
                </c:pt>
                <c:pt idx="6">
                  <c:v>2</c:v>
                </c:pt>
              </c:numCache>
            </c:numRef>
          </c:val>
          <c:extLst>
            <c:ext xmlns:c16="http://schemas.microsoft.com/office/drawing/2014/chart" uri="{C3380CC4-5D6E-409C-BE32-E72D297353CC}">
              <c16:uniqueId val="{00000000-C344-4EDE-908C-4AA04BE9AFEB}"/>
            </c:ext>
          </c:extLst>
        </c:ser>
        <c:ser>
          <c:idx val="1"/>
          <c:order val="1"/>
          <c:tx>
            <c:strRef>
              <c:f>AED!$AB$4:$AB$5</c:f>
              <c:strCache>
                <c:ptCount val="1"/>
                <c:pt idx="0">
                  <c:v>M</c:v>
                </c:pt>
              </c:strCache>
            </c:strRef>
          </c:tx>
          <c:spPr>
            <a:pattFill prst="ltUpDiag">
              <a:fgClr>
                <a:schemeClr val="accent5"/>
              </a:fgClr>
              <a:bgClr>
                <a:schemeClr val="accent5">
                  <a:lumMod val="20000"/>
                  <a:lumOff val="80000"/>
                </a:schemeClr>
              </a:bgClr>
            </a:pattFill>
            <a:ln>
              <a:noFill/>
            </a:ln>
            <a:effectLst>
              <a:innerShdw blurRad="114300">
                <a:schemeClr val="accent5"/>
              </a:innerShdw>
            </a:effectLst>
          </c:spPr>
          <c:cat>
            <c:strRef>
              <c:f>AED!$Z$6:$Z$13</c:f>
              <c:strCache>
                <c:ptCount val="7"/>
                <c:pt idx="0">
                  <c:v>18-24</c:v>
                </c:pt>
                <c:pt idx="1">
                  <c:v>25-29</c:v>
                </c:pt>
                <c:pt idx="2">
                  <c:v>30-34</c:v>
                </c:pt>
                <c:pt idx="3">
                  <c:v>35-39</c:v>
                </c:pt>
                <c:pt idx="4">
                  <c:v>45-49</c:v>
                </c:pt>
                <c:pt idx="5">
                  <c:v>50-54</c:v>
                </c:pt>
                <c:pt idx="6">
                  <c:v>0-18</c:v>
                </c:pt>
              </c:strCache>
            </c:strRef>
          </c:cat>
          <c:val>
            <c:numRef>
              <c:f>AED!$AB$6:$AB$13</c:f>
              <c:numCache>
                <c:formatCode>General</c:formatCode>
                <c:ptCount val="7"/>
                <c:pt idx="2">
                  <c:v>7</c:v>
                </c:pt>
                <c:pt idx="3">
                  <c:v>16</c:v>
                </c:pt>
                <c:pt idx="4">
                  <c:v>4</c:v>
                </c:pt>
                <c:pt idx="5">
                  <c:v>1</c:v>
                </c:pt>
              </c:numCache>
            </c:numRef>
          </c:val>
          <c:extLst>
            <c:ext xmlns:c16="http://schemas.microsoft.com/office/drawing/2014/chart" uri="{C3380CC4-5D6E-409C-BE32-E72D297353CC}">
              <c16:uniqueId val="{00000001-C344-4EDE-908C-4AA04BE9AFEB}"/>
            </c:ext>
          </c:extLst>
        </c:ser>
        <c:dLbls>
          <c:showLegendKey val="0"/>
          <c:showVal val="0"/>
          <c:showCatName val="0"/>
          <c:showSerName val="0"/>
          <c:showPercent val="0"/>
          <c:showBubbleSize val="0"/>
        </c:dLbls>
        <c:axId val="1241429584"/>
        <c:axId val="1241424592"/>
      </c:areaChart>
      <c:catAx>
        <c:axId val="1241429584"/>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pt-BR"/>
          </a:p>
        </c:txPr>
        <c:crossAx val="1241424592"/>
        <c:crosses val="autoZero"/>
        <c:auto val="1"/>
        <c:lblAlgn val="ctr"/>
        <c:lblOffset val="100"/>
        <c:noMultiLvlLbl val="0"/>
      </c:catAx>
      <c:valAx>
        <c:axId val="124142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414295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Valor que pagaria</cx:v>
        </cx:txData>
      </cx:tx>
      <cx:txPr>
        <a:bodyPr spcFirstLastPara="1" vertOverflow="ellipsis" horzOverflow="overflow" wrap="square" lIns="0" tIns="0" rIns="0" bIns="0" anchor="ctr" anchorCtr="1"/>
        <a:lstStyle/>
        <a:p>
          <a:pPr algn="ctr" rtl="0">
            <a:defRPr/>
          </a:pPr>
          <a:r>
            <a:rPr lang="pt-BR" sz="1400" b="0" i="0" u="none" strike="noStrike" baseline="0">
              <a:solidFill>
                <a:sysClr val="windowText" lastClr="000000">
                  <a:lumMod val="65000"/>
                  <a:lumOff val="35000"/>
                </a:sysClr>
              </a:solidFill>
              <a:latin typeface="Calibri" panose="020F0502020204030204"/>
            </a:rPr>
            <a:t>Valor que pagaria</a:t>
          </a:r>
        </a:p>
      </cx:txPr>
    </cx:title>
    <cx:plotArea>
      <cx:plotAreaRegion>
        <cx:series layoutId="clusteredColumn" uniqueId="{36F6A64C-5DDA-49A7-AD3C-2C4FB965C622}">
          <cx:tx>
            <cx:txData>
              <cx:f>_xlchart.v1.0</cx:f>
              <cx:v>valor_que_pagaria</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17253</xdr:colOff>
      <xdr:row>7</xdr:row>
      <xdr:rowOff>69009</xdr:rowOff>
    </xdr:from>
    <xdr:to>
      <xdr:col>3</xdr:col>
      <xdr:colOff>293298</xdr:colOff>
      <xdr:row>54</xdr:row>
      <xdr:rowOff>189781</xdr:rowOff>
    </xdr:to>
    <xdr:sp macro="" textlink="">
      <xdr:nvSpPr>
        <xdr:cNvPr id="2" name="CaixaDeTexto 1">
          <a:extLst>
            <a:ext uri="{FF2B5EF4-FFF2-40B4-BE49-F238E27FC236}">
              <a16:creationId xmlns:a16="http://schemas.microsoft.com/office/drawing/2014/main" id="{D2563F5F-92C3-44FD-9CE1-FCD9BC8E3C77}"/>
            </a:ext>
          </a:extLst>
        </xdr:cNvPr>
        <xdr:cNvSpPr txBox="1"/>
      </xdr:nvSpPr>
      <xdr:spPr>
        <a:xfrm>
          <a:off x="17253" y="1518247"/>
          <a:ext cx="3088256" cy="98513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67,5% da população da amostra não tem interesse no curso</a:t>
          </a:r>
          <a:r>
            <a:rPr lang="pt-BR" sz="1100" baseline="0"/>
            <a:t> e 32,5% demonstra interesse, o que está acima da meta de 25% estipulada pela empresa.</a:t>
          </a:r>
          <a:endParaRPr lang="pt-BR" sz="1100"/>
        </a:p>
        <a:p>
          <a:endParaRPr lang="pt-BR" sz="1100"/>
        </a:p>
        <a:p>
          <a:r>
            <a:rPr lang="pt-BR" sz="1100"/>
            <a:t>O valor mínimo entre os que tem interesse no curso é 73.</a:t>
          </a:r>
          <a:r>
            <a:rPr lang="pt-BR" sz="1100" baseline="0"/>
            <a:t> O valor de 50 foi ignorado na tabela pois corresponde apenas aos que não possuem interesse, considerando que o questionário não permitia deixar o campo do valor que as pessoas pagariam pelo curso em branco para aqueles que não têm interesse e todas indicaram este valor.</a:t>
          </a:r>
        </a:p>
        <a:p>
          <a:r>
            <a:rPr lang="pt-BR" sz="1100" baseline="0"/>
            <a:t>Cerca de 50% dos que possuem interesse, pagariam até 90 reais pelo curso. E 82% pagariam até 98 reais. Considerando que o preço de venda mínimo para pagar a operação da startup deveria ser de 85 reais, temos que 84,62% dos interessados estariam dispostos a pagar esse valor, o referente a 33 clientes.</a:t>
          </a:r>
          <a:r>
            <a:rPr lang="pt-BR" sz="1100" b="0" i="0" u="none" strike="noStrike">
              <a:solidFill>
                <a:schemeClr val="dk1"/>
              </a:solidFill>
              <a:effectLst/>
              <a:latin typeface="+mn-lt"/>
              <a:ea typeface="+mn-ea"/>
              <a:cs typeface="+mn-cs"/>
            </a:rPr>
            <a:t> </a:t>
          </a:r>
        </a:p>
        <a:p>
          <a:endParaRPr lang="pt-BR" sz="1100" b="0" i="0" u="none" strike="noStrike">
            <a:solidFill>
              <a:schemeClr val="dk1"/>
            </a:solidFill>
            <a:effectLst/>
            <a:latin typeface="+mn-lt"/>
            <a:ea typeface="+mn-ea"/>
            <a:cs typeface="+mn-cs"/>
          </a:endParaRPr>
        </a:p>
        <a:p>
          <a:r>
            <a:rPr lang="pt-BR" sz="1100" b="1" i="0" u="none" strike="noStrike">
              <a:solidFill>
                <a:schemeClr val="dk1"/>
              </a:solidFill>
              <a:effectLst/>
              <a:latin typeface="+mn-lt"/>
              <a:ea typeface="+mn-ea"/>
              <a:cs typeface="+mn-cs"/>
            </a:rPr>
            <a:t>A média de valor pago é R$91,46.</a:t>
          </a:r>
          <a:endParaRPr lang="pt-BR" sz="1100" b="1" baseline="0"/>
        </a:p>
        <a:p>
          <a:endParaRPr lang="pt-BR" sz="1100" baseline="0"/>
        </a:p>
        <a:p>
          <a:r>
            <a:rPr lang="pt-BR" sz="1100" baseline="0"/>
            <a:t>O perfil dos clientes é majoritariamente masculino. Entre o total, temos mais de 70% de homens, e essa proporção se mantém ao analisarmos separadamente os grupos que tem e não tem interesse. Por outro lado, os dados demonstram que as mulheres tendem a apresentar um comportamento de mais interesse no curso do que os homens. Isso pode indicar que investir no aumento do público feminino possa ser uma boa estratégia para atrair público para o curso. Cerca de 63% das mulheres pagariam pelo menos 84 reais pelo curso (valor que, apesar de ser abaixo do necessário, é muito próximo).</a:t>
          </a:r>
        </a:p>
        <a:p>
          <a:endParaRPr lang="pt-BR" sz="1100" baseline="0"/>
        </a:p>
        <a:p>
          <a:r>
            <a:rPr lang="pt-BR" sz="1100" baseline="0"/>
            <a:t>Dando continuidade à definição de perfil dos clientes, temos uma faixa que vai de 25 a 49 anos com 90% do total. Dentre os que apresentaram interesse no curso, essa faixa reduz para 25 a 39 anos.</a:t>
          </a:r>
        </a:p>
        <a:p>
          <a:endParaRPr lang="pt-BR" sz="1100" baseline="0"/>
        </a:p>
        <a:p>
          <a:r>
            <a:rPr lang="pt-BR" sz="1100" baseline="0"/>
            <a:t>Cruzando a faixa etária com os dados de gênero daqueles que demonstraram interesse no curso, temos dois cenários muito bem definidos: mulheres de até 34 anos e homens de  30 a 54 anos.</a:t>
          </a:r>
        </a:p>
        <a:p>
          <a:endParaRPr lang="pt-BR" sz="1100" baseline="0"/>
        </a:p>
        <a:p>
          <a:r>
            <a:rPr lang="pt-BR" sz="1100" baseline="0"/>
            <a:t>No que tange a escolaridade, a maioria das mulheres concentram-se no conjunto de pós graduação, enquanto os homens estão distribuídos de maneira mais homogênea. Não há indícios de uma forte correlação entre os valores pagos e a escolaridade.</a:t>
          </a:r>
          <a:endParaRPr lang="pt-BR" sz="1100"/>
        </a:p>
      </xdr:txBody>
    </xdr:sp>
    <xdr:clientData/>
  </xdr:twoCellAnchor>
  <xdr:twoCellAnchor>
    <xdr:from>
      <xdr:col>4</xdr:col>
      <xdr:colOff>0</xdr:colOff>
      <xdr:row>42</xdr:row>
      <xdr:rowOff>0</xdr:rowOff>
    </xdr:from>
    <xdr:to>
      <xdr:col>7</xdr:col>
      <xdr:colOff>224287</xdr:colOff>
      <xdr:row>55</xdr:row>
      <xdr:rowOff>51758</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472BC54B-21FA-40A3-9352-03FC41C879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90181" y="8695426"/>
              <a:ext cx="3347049" cy="2743200"/>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181154</xdr:colOff>
      <xdr:row>0</xdr:row>
      <xdr:rowOff>155276</xdr:rowOff>
    </xdr:from>
    <xdr:to>
      <xdr:col>4</xdr:col>
      <xdr:colOff>232913</xdr:colOff>
      <xdr:row>26</xdr:row>
      <xdr:rowOff>60385</xdr:rowOff>
    </xdr:to>
    <xdr:sp macro="" textlink="">
      <xdr:nvSpPr>
        <xdr:cNvPr id="2" name="CaixaDeTexto 1">
          <a:extLst>
            <a:ext uri="{FF2B5EF4-FFF2-40B4-BE49-F238E27FC236}">
              <a16:creationId xmlns:a16="http://schemas.microsoft.com/office/drawing/2014/main" id="{31D5300F-995A-4BCF-9F47-1CCC5B92C3DD}"/>
            </a:ext>
          </a:extLst>
        </xdr:cNvPr>
        <xdr:cNvSpPr txBox="1"/>
      </xdr:nvSpPr>
      <xdr:spPr>
        <a:xfrm>
          <a:off x="181154" y="155276"/>
          <a:ext cx="2812212" cy="52879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Amostra aleatória  obtida</a:t>
          </a:r>
          <a:r>
            <a:rPr lang="pt-BR" sz="1100" baseline="0"/>
            <a:t> através de formulário online distribuída na rede de contatos dos fundadores da empresa. Pode indicar um viés, reforçado pela proporção maior de homens em comparaçãoo com a de mulheres, por exemplo.</a:t>
          </a:r>
        </a:p>
        <a:p>
          <a:endParaRPr lang="pt-BR" sz="1100" baseline="0"/>
        </a:p>
        <a:p>
          <a:r>
            <a:rPr lang="pt-BR" sz="1100" baseline="0"/>
            <a:t>Possível população de interesse: </a:t>
          </a:r>
        </a:p>
        <a:p>
          <a:endParaRPr lang="pt-BR" sz="1100" baseline="0"/>
        </a:p>
        <a:p>
          <a:r>
            <a:rPr lang="pt-BR" sz="1100" baseline="0"/>
            <a:t>*mulheres, de 25 a 39 anos</a:t>
          </a:r>
        </a:p>
        <a:p>
          <a:endParaRPr lang="pt-BR" sz="1100" baseline="0"/>
        </a:p>
        <a:p>
          <a:r>
            <a:rPr lang="pt-BR" sz="1100" baseline="0"/>
            <a:t>*homens, acima de 30 anos</a:t>
          </a:r>
        </a:p>
        <a:p>
          <a:endParaRPr lang="pt-BR" sz="1100" baseline="0"/>
        </a:p>
        <a:p>
          <a:endParaRPr lang="pt-BR" sz="1100" baseline="0"/>
        </a:p>
        <a:p>
          <a:r>
            <a:rPr lang="pt-BR" sz="1100" baseline="0"/>
            <a:t>Considerando n=120 total</a:t>
          </a:r>
        </a:p>
        <a:p>
          <a:endParaRPr lang="pt-BR" sz="1100" baseline="0"/>
        </a:p>
        <a:p>
          <a:r>
            <a:rPr lang="pt-BR" sz="1100" baseline="0"/>
            <a:t>Erro: </a:t>
          </a:r>
        </a:p>
        <a:p>
          <a:r>
            <a:rPr lang="pt-BR" sz="1100" baseline="0"/>
            <a:t>Total = R$1,45 (o limite inferior é maior do que o estipulado pela empresa)</a:t>
          </a:r>
        </a:p>
        <a:p>
          <a:r>
            <a:rPr lang="pt-BR" sz="1100" baseline="0"/>
            <a:t>Mulheres = R$2,91 (o limite superior é muito próximo do estipulado)</a:t>
          </a:r>
        </a:p>
        <a:p>
          <a:pPr marL="0" marR="0" lvl="0" indent="0" defTabSz="914400" eaLnBrk="1" fontAlgn="auto" latinLnBrk="0" hangingPunct="1">
            <a:lnSpc>
              <a:spcPct val="100000"/>
            </a:lnSpc>
            <a:spcBef>
              <a:spcPts val="0"/>
            </a:spcBef>
            <a:spcAft>
              <a:spcPts val="0"/>
            </a:spcAft>
            <a:buClrTx/>
            <a:buSzTx/>
            <a:buFontTx/>
            <a:buNone/>
            <a:tabLst/>
            <a:defRPr/>
          </a:pPr>
          <a:r>
            <a:rPr lang="pt-BR" sz="1100" baseline="0"/>
            <a:t>Mulheres de 25 a 34 anos = R$0,84</a:t>
          </a:r>
          <a:r>
            <a:rPr lang="pt-BR" sz="1100" baseline="0">
              <a:solidFill>
                <a:schemeClr val="dk1"/>
              </a:solidFill>
              <a:effectLst/>
              <a:latin typeface="+mn-lt"/>
              <a:ea typeface="+mn-ea"/>
              <a:cs typeface="+mn-cs"/>
            </a:rPr>
            <a:t>  (o limite inferior é próximo do estipulado pela empresa)</a:t>
          </a:r>
          <a:endParaRPr lang="pt-BR" sz="1100" baseline="0"/>
        </a:p>
        <a:p>
          <a:pPr marL="0" marR="0" lvl="0" indent="0" defTabSz="914400" eaLnBrk="1" fontAlgn="auto" latinLnBrk="0" hangingPunct="1">
            <a:lnSpc>
              <a:spcPct val="100000"/>
            </a:lnSpc>
            <a:spcBef>
              <a:spcPts val="0"/>
            </a:spcBef>
            <a:spcAft>
              <a:spcPts val="0"/>
            </a:spcAft>
            <a:buClrTx/>
            <a:buSzTx/>
            <a:buFontTx/>
            <a:buNone/>
            <a:tabLst/>
            <a:defRPr/>
          </a:pPr>
          <a:r>
            <a:rPr lang="pt-BR" sz="1100" baseline="0"/>
            <a:t>Homens = R$2,30</a:t>
          </a:r>
          <a:r>
            <a:rPr lang="pt-BR" sz="1100" baseline="0">
              <a:solidFill>
                <a:schemeClr val="dk1"/>
              </a:solidFill>
              <a:effectLst/>
              <a:latin typeface="+mn-lt"/>
              <a:ea typeface="+mn-ea"/>
              <a:cs typeface="+mn-cs"/>
            </a:rPr>
            <a:t> (o limite inferior é maior do que o estipulado pela empresa)</a:t>
          </a:r>
          <a:endParaRPr lang="pt-BR">
            <a:effectLst/>
          </a:endParaRPr>
        </a:p>
        <a:p>
          <a:endParaRPr lang="pt-B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640820</xdr:colOff>
      <xdr:row>6</xdr:row>
      <xdr:rowOff>160206</xdr:rowOff>
    </xdr:from>
    <xdr:to>
      <xdr:col>4</xdr:col>
      <xdr:colOff>394351</xdr:colOff>
      <xdr:row>18</xdr:row>
      <xdr:rowOff>160205</xdr:rowOff>
    </xdr:to>
    <xdr:graphicFrame macro="">
      <xdr:nvGraphicFramePr>
        <xdr:cNvPr id="2" name="Clientes Interessados">
          <a:extLst>
            <a:ext uri="{FF2B5EF4-FFF2-40B4-BE49-F238E27FC236}">
              <a16:creationId xmlns:a16="http://schemas.microsoft.com/office/drawing/2014/main" id="{3B05C3AE-9CCE-42F1-9FDA-38CF6159D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576736</xdr:colOff>
      <xdr:row>1</xdr:row>
      <xdr:rowOff>48061</xdr:rowOff>
    </xdr:from>
    <xdr:to>
      <xdr:col>3</xdr:col>
      <xdr:colOff>455967</xdr:colOff>
      <xdr:row>5</xdr:row>
      <xdr:rowOff>86264</xdr:rowOff>
    </xdr:to>
    <xdr:sp macro="" textlink="">
      <xdr:nvSpPr>
        <xdr:cNvPr id="3" name="CaixaDeTexto 2">
          <a:extLst>
            <a:ext uri="{FF2B5EF4-FFF2-40B4-BE49-F238E27FC236}">
              <a16:creationId xmlns:a16="http://schemas.microsoft.com/office/drawing/2014/main" id="{2A15C53B-BF20-4696-BAB3-1B03FA078A88}"/>
            </a:ext>
          </a:extLst>
        </xdr:cNvPr>
        <xdr:cNvSpPr txBox="1"/>
      </xdr:nvSpPr>
      <xdr:spPr>
        <a:xfrm>
          <a:off x="1266849" y="257560"/>
          <a:ext cx="2072805" cy="8761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1" i="0" u="none" strike="noStrike">
              <a:solidFill>
                <a:schemeClr val="dk1"/>
              </a:solidFill>
              <a:effectLst/>
              <a:latin typeface="+mn-lt"/>
              <a:ea typeface="+mn-ea"/>
              <a:cs typeface="+mn-cs"/>
            </a:rPr>
            <a:t>TOTAL INTERESSADOS</a:t>
          </a:r>
          <a:r>
            <a:rPr lang="pt-BR" sz="1600"/>
            <a:t> </a:t>
          </a:r>
        </a:p>
        <a:p>
          <a:pPr algn="ctr"/>
          <a:r>
            <a:rPr lang="pt-BR" sz="1600" b="0" i="0" u="none" strike="noStrike">
              <a:solidFill>
                <a:schemeClr val="dk1"/>
              </a:solidFill>
              <a:effectLst/>
              <a:latin typeface="+mn-lt"/>
              <a:ea typeface="+mn-ea"/>
              <a:cs typeface="+mn-cs"/>
            </a:rPr>
            <a:t>39 | 32,5% clientes</a:t>
          </a:r>
          <a:r>
            <a:rPr lang="pt-BR" sz="1600"/>
            <a:t> </a:t>
          </a:r>
        </a:p>
      </xdr:txBody>
    </xdr:sp>
    <xdr:clientData/>
  </xdr:twoCellAnchor>
  <xdr:twoCellAnchor>
    <xdr:from>
      <xdr:col>5</xdr:col>
      <xdr:colOff>36971</xdr:colOff>
      <xdr:row>1</xdr:row>
      <xdr:rowOff>172528</xdr:rowOff>
    </xdr:from>
    <xdr:to>
      <xdr:col>15</xdr:col>
      <xdr:colOff>207035</xdr:colOff>
      <xdr:row>20</xdr:row>
      <xdr:rowOff>38201</xdr:rowOff>
    </xdr:to>
    <xdr:graphicFrame macro="">
      <xdr:nvGraphicFramePr>
        <xdr:cNvPr id="4" name="Gráfico 3">
          <a:extLst>
            <a:ext uri="{FF2B5EF4-FFF2-40B4-BE49-F238E27FC236}">
              <a16:creationId xmlns:a16="http://schemas.microsoft.com/office/drawing/2014/main" id="{FBC34022-2178-4D20-801A-9C0711243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418996</xdr:colOff>
      <xdr:row>7</xdr:row>
      <xdr:rowOff>110910</xdr:rowOff>
    </xdr:from>
    <xdr:to>
      <xdr:col>18</xdr:col>
      <xdr:colOff>418997</xdr:colOff>
      <xdr:row>19</xdr:row>
      <xdr:rowOff>61618</xdr:rowOff>
    </xdr:to>
    <xdr:sp macro="" textlink="">
      <xdr:nvSpPr>
        <xdr:cNvPr id="5" name="CaixaDeTexto 4">
          <a:extLst>
            <a:ext uri="{FF2B5EF4-FFF2-40B4-BE49-F238E27FC236}">
              <a16:creationId xmlns:a16="http://schemas.microsoft.com/office/drawing/2014/main" id="{EBB4102D-1148-4060-9507-4D1885799012}"/>
            </a:ext>
          </a:extLst>
        </xdr:cNvPr>
        <xdr:cNvSpPr txBox="1"/>
      </xdr:nvSpPr>
      <xdr:spPr>
        <a:xfrm>
          <a:off x="11584042" y="1577400"/>
          <a:ext cx="2070341" cy="2464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aseline="0">
              <a:solidFill>
                <a:schemeClr val="dk1"/>
              </a:solidFill>
              <a:effectLst/>
              <a:latin typeface="+mn-lt"/>
              <a:ea typeface="+mn-ea"/>
              <a:cs typeface="+mn-cs"/>
            </a:rPr>
            <a:t>50% pagariam até 90 reais | 82% pagariam até 98 reais</a:t>
          </a:r>
        </a:p>
        <a:p>
          <a:pPr algn="ctr"/>
          <a:endParaRPr lang="pt-BR" sz="1600" baseline="0">
            <a:solidFill>
              <a:schemeClr val="dk1"/>
            </a:solidFill>
            <a:effectLst/>
            <a:latin typeface="+mn-lt"/>
            <a:ea typeface="+mn-ea"/>
            <a:cs typeface="+mn-cs"/>
          </a:endParaRPr>
        </a:p>
        <a:p>
          <a:pPr algn="ctr"/>
          <a:r>
            <a:rPr lang="pt-BR" sz="1600" b="1" baseline="0">
              <a:solidFill>
                <a:schemeClr val="dk1"/>
              </a:solidFill>
              <a:effectLst/>
              <a:latin typeface="+mn-lt"/>
              <a:ea typeface="+mn-ea"/>
              <a:cs typeface="+mn-cs"/>
            </a:rPr>
            <a:t>33 clientes (84,62%) dos interessados estariam dispostos a pagar pelo menos 85 reais.</a:t>
          </a:r>
        </a:p>
      </xdr:txBody>
    </xdr:sp>
    <xdr:clientData/>
  </xdr:twoCellAnchor>
  <xdr:twoCellAnchor>
    <xdr:from>
      <xdr:col>15</xdr:col>
      <xdr:colOff>382027</xdr:colOff>
      <xdr:row>1</xdr:row>
      <xdr:rowOff>147881</xdr:rowOff>
    </xdr:from>
    <xdr:to>
      <xdr:col>18</xdr:col>
      <xdr:colOff>554555</xdr:colOff>
      <xdr:row>7</xdr:row>
      <xdr:rowOff>12324</xdr:rowOff>
    </xdr:to>
    <xdr:sp macro="" textlink="">
      <xdr:nvSpPr>
        <xdr:cNvPr id="6" name="CaixaDeTexto 5">
          <a:extLst>
            <a:ext uri="{FF2B5EF4-FFF2-40B4-BE49-F238E27FC236}">
              <a16:creationId xmlns:a16="http://schemas.microsoft.com/office/drawing/2014/main" id="{5B158438-0D18-46E6-BE68-C09C5E2523AA}"/>
            </a:ext>
          </a:extLst>
        </xdr:cNvPr>
        <xdr:cNvSpPr txBox="1"/>
      </xdr:nvSpPr>
      <xdr:spPr>
        <a:xfrm>
          <a:off x="11547073" y="357380"/>
          <a:ext cx="2242868" cy="11214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1"/>
            <a:t>MÉDIA PAGA POR INTERESSADOS</a:t>
          </a:r>
        </a:p>
        <a:p>
          <a:pPr marL="0" marR="0" lvl="0" indent="0" algn="ctr" defTabSz="914400" eaLnBrk="1" fontAlgn="auto" latinLnBrk="0" hangingPunct="1">
            <a:lnSpc>
              <a:spcPct val="100000"/>
            </a:lnSpc>
            <a:spcBef>
              <a:spcPts val="0"/>
            </a:spcBef>
            <a:spcAft>
              <a:spcPts val="0"/>
            </a:spcAft>
            <a:buClrTx/>
            <a:buSzTx/>
            <a:buFontTx/>
            <a:buNone/>
            <a:tabLst/>
            <a:defRPr/>
          </a:pPr>
          <a:r>
            <a:rPr lang="pt-BR" sz="1600" b="0" i="0">
              <a:solidFill>
                <a:schemeClr val="dk1"/>
              </a:solidFill>
              <a:effectLst/>
              <a:latin typeface="+mn-lt"/>
              <a:ea typeface="+mn-ea"/>
              <a:cs typeface="+mn-cs"/>
            </a:rPr>
            <a:t>R$91,46</a:t>
          </a:r>
          <a:endParaRPr lang="pt-BR" sz="1600" b="0">
            <a:effectLst/>
          </a:endParaRPr>
        </a:p>
      </xdr:txBody>
    </xdr:sp>
    <xdr:clientData/>
  </xdr:twoCellAnchor>
  <xdr:twoCellAnchor>
    <xdr:from>
      <xdr:col>2</xdr:col>
      <xdr:colOff>542231</xdr:colOff>
      <xdr:row>23</xdr:row>
      <xdr:rowOff>36971</xdr:rowOff>
    </xdr:from>
    <xdr:to>
      <xdr:col>14</xdr:col>
      <xdr:colOff>665465</xdr:colOff>
      <xdr:row>26</xdr:row>
      <xdr:rowOff>2</xdr:rowOff>
    </xdr:to>
    <xdr:sp macro="" textlink="">
      <xdr:nvSpPr>
        <xdr:cNvPr id="7" name="CaixaDeTexto 6">
          <a:extLst>
            <a:ext uri="{FF2B5EF4-FFF2-40B4-BE49-F238E27FC236}">
              <a16:creationId xmlns:a16="http://schemas.microsoft.com/office/drawing/2014/main" id="{EFD33655-EDFA-4A71-8C06-FD605F8CAD8F}"/>
            </a:ext>
          </a:extLst>
        </xdr:cNvPr>
        <xdr:cNvSpPr txBox="1"/>
      </xdr:nvSpPr>
      <xdr:spPr>
        <a:xfrm>
          <a:off x="2735805" y="4855440"/>
          <a:ext cx="8404593" cy="591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1"/>
            <a:t>PERFIL DE CLIENTES</a:t>
          </a:r>
        </a:p>
      </xdr:txBody>
    </xdr:sp>
    <xdr:clientData/>
  </xdr:twoCellAnchor>
  <xdr:twoCellAnchor>
    <xdr:from>
      <xdr:col>1</xdr:col>
      <xdr:colOff>36971</xdr:colOff>
      <xdr:row>43</xdr:row>
      <xdr:rowOff>49295</xdr:rowOff>
    </xdr:from>
    <xdr:to>
      <xdr:col>6</xdr:col>
      <xdr:colOff>345057</xdr:colOff>
      <xdr:row>56</xdr:row>
      <xdr:rowOff>69012</xdr:rowOff>
    </xdr:to>
    <xdr:graphicFrame macro="">
      <xdr:nvGraphicFramePr>
        <xdr:cNvPr id="9" name="Gráfico 8">
          <a:extLst>
            <a:ext uri="{FF2B5EF4-FFF2-40B4-BE49-F238E27FC236}">
              <a16:creationId xmlns:a16="http://schemas.microsoft.com/office/drawing/2014/main" id="{6E2D1D4E-7527-4C1A-8F85-8B36333EC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665466</xdr:colOff>
      <xdr:row>29</xdr:row>
      <xdr:rowOff>49296</xdr:rowOff>
    </xdr:from>
    <xdr:to>
      <xdr:col>6</xdr:col>
      <xdr:colOff>283439</xdr:colOff>
      <xdr:row>42</xdr:row>
      <xdr:rowOff>69014</xdr:rowOff>
    </xdr:to>
    <xdr:graphicFrame macro="">
      <xdr:nvGraphicFramePr>
        <xdr:cNvPr id="10" name="Gráfico 9">
          <a:extLst>
            <a:ext uri="{FF2B5EF4-FFF2-40B4-BE49-F238E27FC236}">
              <a16:creationId xmlns:a16="http://schemas.microsoft.com/office/drawing/2014/main" id="{AFC6A72F-FFF0-4EFE-AF5C-3388FB4D8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86264</xdr:colOff>
      <xdr:row>29</xdr:row>
      <xdr:rowOff>12323</xdr:rowOff>
    </xdr:from>
    <xdr:to>
      <xdr:col>13</xdr:col>
      <xdr:colOff>517584</xdr:colOff>
      <xdr:row>42</xdr:row>
      <xdr:rowOff>32041</xdr:rowOff>
    </xdr:to>
    <xdr:graphicFrame macro="">
      <xdr:nvGraphicFramePr>
        <xdr:cNvPr id="11" name="Gráfico 10">
          <a:extLst>
            <a:ext uri="{FF2B5EF4-FFF2-40B4-BE49-F238E27FC236}">
              <a16:creationId xmlns:a16="http://schemas.microsoft.com/office/drawing/2014/main" id="{0CD1C2B1-D846-40FE-9D16-0E86DDD6D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12324</xdr:colOff>
      <xdr:row>43</xdr:row>
      <xdr:rowOff>73941</xdr:rowOff>
    </xdr:from>
    <xdr:to>
      <xdr:col>13</xdr:col>
      <xdr:colOff>443644</xdr:colOff>
      <xdr:row>56</xdr:row>
      <xdr:rowOff>93658</xdr:rowOff>
    </xdr:to>
    <xdr:graphicFrame macro="">
      <xdr:nvGraphicFramePr>
        <xdr:cNvPr id="12" name="Gráfico 11">
          <a:extLst>
            <a:ext uri="{FF2B5EF4-FFF2-40B4-BE49-F238E27FC236}">
              <a16:creationId xmlns:a16="http://schemas.microsoft.com/office/drawing/2014/main" id="{25E3035B-08D7-49A0-8BEF-A75BC40FF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123234</xdr:colOff>
      <xdr:row>29</xdr:row>
      <xdr:rowOff>49294</xdr:rowOff>
    </xdr:from>
    <xdr:to>
      <xdr:col>18</xdr:col>
      <xdr:colOff>603849</xdr:colOff>
      <xdr:row>56</xdr:row>
      <xdr:rowOff>197176</xdr:rowOff>
    </xdr:to>
    <xdr:sp macro="" textlink="">
      <xdr:nvSpPr>
        <xdr:cNvPr id="13" name="CaixaDeTexto 12">
          <a:extLst>
            <a:ext uri="{FF2B5EF4-FFF2-40B4-BE49-F238E27FC236}">
              <a16:creationId xmlns:a16="http://schemas.microsoft.com/office/drawing/2014/main" id="{E1B5DC0E-E880-450B-A793-C86AFF439FDB}"/>
            </a:ext>
          </a:extLst>
        </xdr:cNvPr>
        <xdr:cNvSpPr txBox="1"/>
      </xdr:nvSpPr>
      <xdr:spPr>
        <a:xfrm>
          <a:off x="10598167" y="6124755"/>
          <a:ext cx="3241068" cy="58043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1" baseline="0">
              <a:solidFill>
                <a:schemeClr val="dk1"/>
              </a:solidFill>
              <a:effectLst/>
              <a:latin typeface="+mn-lt"/>
              <a:ea typeface="+mn-ea"/>
              <a:cs typeface="+mn-cs"/>
            </a:rPr>
            <a:t>70% de clientes do sexo masculino</a:t>
          </a:r>
        </a:p>
        <a:p>
          <a:pPr algn="ctr"/>
          <a:endParaRPr lang="pt-BR" sz="1600" baseline="0">
            <a:solidFill>
              <a:schemeClr val="dk1"/>
            </a:solidFill>
            <a:effectLst/>
            <a:latin typeface="+mn-lt"/>
            <a:ea typeface="+mn-ea"/>
            <a:cs typeface="+mn-cs"/>
          </a:endParaRPr>
        </a:p>
        <a:p>
          <a:pPr algn="ctr"/>
          <a:r>
            <a:rPr lang="pt-BR" sz="1600" baseline="0">
              <a:solidFill>
                <a:schemeClr val="dk1"/>
              </a:solidFill>
              <a:effectLst/>
              <a:latin typeface="+mn-lt"/>
              <a:ea typeface="+mn-ea"/>
              <a:cs typeface="+mn-cs"/>
            </a:rPr>
            <a:t>clientes do sexo feminino tendem a apresentar um comportamento de maior interesse no curso </a:t>
          </a:r>
        </a:p>
        <a:p>
          <a:pPr algn="ctr"/>
          <a:r>
            <a:rPr lang="pt-BR" sz="1600" b="1" baseline="0">
              <a:solidFill>
                <a:schemeClr val="dk1"/>
              </a:solidFill>
              <a:effectLst/>
              <a:latin typeface="+mn-lt"/>
              <a:ea typeface="+mn-ea"/>
              <a:cs typeface="+mn-cs"/>
            </a:rPr>
            <a:t>63% pagaria pelo menos 84 reais</a:t>
          </a:r>
        </a:p>
        <a:p>
          <a:pPr algn="ctr"/>
          <a:endParaRPr lang="pt-BR" sz="1600" baseline="0">
            <a:solidFill>
              <a:schemeClr val="dk1"/>
            </a:solidFill>
            <a:effectLst/>
            <a:latin typeface="+mn-lt"/>
            <a:ea typeface="+mn-ea"/>
            <a:cs typeface="+mn-cs"/>
          </a:endParaRPr>
        </a:p>
        <a:p>
          <a:pPr algn="ctr"/>
          <a:r>
            <a:rPr lang="pt-BR" sz="1600" baseline="0">
              <a:solidFill>
                <a:schemeClr val="dk1"/>
              </a:solidFill>
              <a:effectLst/>
              <a:latin typeface="+mn-lt"/>
              <a:ea typeface="+mn-ea"/>
              <a:cs typeface="+mn-cs"/>
            </a:rPr>
            <a:t>faixa etária geral de 25 a 49 anos = 90% do total</a:t>
          </a:r>
        </a:p>
        <a:p>
          <a:pPr algn="ctr"/>
          <a:endParaRPr lang="pt-BR" sz="1600" baseline="0">
            <a:solidFill>
              <a:schemeClr val="dk1"/>
            </a:solidFill>
            <a:effectLst/>
            <a:latin typeface="+mn-lt"/>
            <a:ea typeface="+mn-ea"/>
            <a:cs typeface="+mn-cs"/>
          </a:endParaRPr>
        </a:p>
        <a:p>
          <a:pPr algn="ctr"/>
          <a:r>
            <a:rPr lang="pt-BR" sz="1600" baseline="0">
              <a:solidFill>
                <a:schemeClr val="dk1"/>
              </a:solidFill>
              <a:effectLst/>
              <a:latin typeface="+mn-lt"/>
              <a:ea typeface="+mn-ea"/>
              <a:cs typeface="+mn-cs"/>
            </a:rPr>
            <a:t>faixa etária e sexo </a:t>
          </a:r>
          <a:r>
            <a:rPr lang="pt-BR" sz="1600" b="1" baseline="0">
              <a:solidFill>
                <a:schemeClr val="dk1"/>
              </a:solidFill>
              <a:effectLst/>
              <a:latin typeface="+mn-lt"/>
              <a:ea typeface="+mn-ea"/>
              <a:cs typeface="+mn-cs"/>
            </a:rPr>
            <a:t>com interesse </a:t>
          </a:r>
          <a:r>
            <a:rPr lang="pt-BR" sz="1600" b="0" baseline="0">
              <a:solidFill>
                <a:schemeClr val="dk1"/>
              </a:solidFill>
              <a:effectLst/>
              <a:latin typeface="+mn-lt"/>
              <a:ea typeface="+mn-ea"/>
              <a:cs typeface="+mn-cs"/>
            </a:rPr>
            <a:t>=</a:t>
          </a:r>
          <a:r>
            <a:rPr lang="pt-BR" sz="1600" b="1" baseline="0">
              <a:solidFill>
                <a:schemeClr val="dk1"/>
              </a:solidFill>
              <a:effectLst/>
              <a:latin typeface="+mn-lt"/>
              <a:ea typeface="+mn-ea"/>
              <a:cs typeface="+mn-cs"/>
            </a:rPr>
            <a:t> </a:t>
          </a:r>
          <a:r>
            <a:rPr lang="pt-BR" sz="1600" baseline="0">
              <a:solidFill>
                <a:schemeClr val="dk1"/>
              </a:solidFill>
              <a:effectLst/>
              <a:latin typeface="+mn-lt"/>
              <a:ea typeface="+mn-ea"/>
              <a:cs typeface="+mn-cs"/>
            </a:rPr>
            <a:t>mulheres de até 34 anos e homens de  30 a 54 anos.</a:t>
          </a:r>
          <a:endParaRPr lang="pt-BR" sz="1600">
            <a:effectLst/>
          </a:endParaRPr>
        </a:p>
        <a:p>
          <a:pPr algn="ctr"/>
          <a:endParaRPr lang="pt-BR" sz="1100"/>
        </a:p>
      </xdr:txBody>
    </xdr:sp>
    <xdr:clientData/>
  </xdr:twoCellAnchor>
  <xdr:twoCellAnchor>
    <xdr:from>
      <xdr:col>1</xdr:col>
      <xdr:colOff>246469</xdr:colOff>
      <xdr:row>57</xdr:row>
      <xdr:rowOff>184852</xdr:rowOff>
    </xdr:from>
    <xdr:to>
      <xdr:col>9</xdr:col>
      <xdr:colOff>0</xdr:colOff>
      <xdr:row>68</xdr:row>
      <xdr:rowOff>49293</xdr:rowOff>
    </xdr:to>
    <xdr:sp macro="" textlink="">
      <xdr:nvSpPr>
        <xdr:cNvPr id="14" name="CaixaDeTexto 13">
          <a:extLst>
            <a:ext uri="{FF2B5EF4-FFF2-40B4-BE49-F238E27FC236}">
              <a16:creationId xmlns:a16="http://schemas.microsoft.com/office/drawing/2014/main" id="{DB8EB075-6798-4AF3-98BE-002D349DC724}"/>
            </a:ext>
          </a:extLst>
        </xdr:cNvPr>
        <xdr:cNvSpPr txBox="1"/>
      </xdr:nvSpPr>
      <xdr:spPr>
        <a:xfrm>
          <a:off x="936582" y="12126275"/>
          <a:ext cx="6087785" cy="2168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600" b="1"/>
            <a:t>INFERÊNCIAS</a:t>
          </a:r>
          <a:r>
            <a:rPr lang="pt-BR" sz="1600" b="1" baseline="0"/>
            <a:t> ESTATÍSTICAS</a:t>
          </a:r>
        </a:p>
        <a:p>
          <a:endParaRPr lang="pt-BR" sz="1600" baseline="0"/>
        </a:p>
        <a:p>
          <a:r>
            <a:rPr lang="pt-BR" sz="1600">
              <a:solidFill>
                <a:schemeClr val="dk1"/>
              </a:solidFill>
              <a:effectLst/>
              <a:latin typeface="+mn-lt"/>
              <a:ea typeface="+mn-ea"/>
              <a:cs typeface="+mn-cs"/>
            </a:rPr>
            <a:t>Amostra aleatória obtida</a:t>
          </a:r>
          <a:r>
            <a:rPr lang="pt-BR" sz="1600" baseline="0">
              <a:solidFill>
                <a:schemeClr val="dk1"/>
              </a:solidFill>
              <a:effectLst/>
              <a:latin typeface="+mn-lt"/>
              <a:ea typeface="+mn-ea"/>
              <a:cs typeface="+mn-cs"/>
            </a:rPr>
            <a:t> através de formulário online distribuído na rede de contatos dos fundadores da empresa. </a:t>
          </a:r>
        </a:p>
        <a:p>
          <a:endParaRPr lang="pt-BR" sz="1600">
            <a:effectLst/>
          </a:endParaRPr>
        </a:p>
        <a:p>
          <a:r>
            <a:rPr lang="pt-BR" sz="1600" b="1" baseline="0">
              <a:solidFill>
                <a:schemeClr val="dk1"/>
              </a:solidFill>
              <a:effectLst/>
              <a:latin typeface="+mn-lt"/>
              <a:ea typeface="+mn-ea"/>
              <a:cs typeface="+mn-cs"/>
            </a:rPr>
            <a:t>Possíveis populações de interesse identificadas: </a:t>
          </a:r>
          <a:endParaRPr lang="pt-BR" sz="1600" b="1">
            <a:effectLst/>
          </a:endParaRPr>
        </a:p>
        <a:p>
          <a:r>
            <a:rPr lang="pt-BR" sz="1600" baseline="0">
              <a:solidFill>
                <a:schemeClr val="dk1"/>
              </a:solidFill>
              <a:effectLst/>
              <a:latin typeface="+mn-lt"/>
              <a:ea typeface="+mn-ea"/>
              <a:cs typeface="+mn-cs"/>
            </a:rPr>
            <a:t>*mulheres, de 25 a 39 anos</a:t>
          </a:r>
          <a:endParaRPr lang="pt-BR" sz="1600">
            <a:effectLst/>
          </a:endParaRPr>
        </a:p>
        <a:p>
          <a:r>
            <a:rPr lang="pt-BR" sz="1600" baseline="0">
              <a:solidFill>
                <a:schemeClr val="dk1"/>
              </a:solidFill>
              <a:effectLst/>
              <a:latin typeface="+mn-lt"/>
              <a:ea typeface="+mn-ea"/>
              <a:cs typeface="+mn-cs"/>
            </a:rPr>
            <a:t>*homens, acima de 30 anos</a:t>
          </a:r>
          <a:endParaRPr lang="pt-BR" sz="1600">
            <a:effectLst/>
          </a:endParaRPr>
        </a:p>
        <a:p>
          <a:endParaRPr lang="pt-BR" sz="1600"/>
        </a:p>
      </xdr:txBody>
    </xdr:sp>
    <xdr:clientData/>
  </xdr:twoCellAnchor>
  <xdr:twoCellAnchor>
    <xdr:from>
      <xdr:col>10</xdr:col>
      <xdr:colOff>234144</xdr:colOff>
      <xdr:row>58</xdr:row>
      <xdr:rowOff>24648</xdr:rowOff>
    </xdr:from>
    <xdr:to>
      <xdr:col>18</xdr:col>
      <xdr:colOff>653141</xdr:colOff>
      <xdr:row>68</xdr:row>
      <xdr:rowOff>86264</xdr:rowOff>
    </xdr:to>
    <xdr:sp macro="" textlink="">
      <xdr:nvSpPr>
        <xdr:cNvPr id="15" name="CaixaDeTexto 14">
          <a:extLst>
            <a:ext uri="{FF2B5EF4-FFF2-40B4-BE49-F238E27FC236}">
              <a16:creationId xmlns:a16="http://schemas.microsoft.com/office/drawing/2014/main" id="{2DC19505-BB19-420C-B5E1-939ED81F5DF2}"/>
            </a:ext>
          </a:extLst>
        </xdr:cNvPr>
        <xdr:cNvSpPr txBox="1"/>
      </xdr:nvSpPr>
      <xdr:spPr>
        <a:xfrm>
          <a:off x="7948624" y="12175569"/>
          <a:ext cx="5939903" cy="21566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600" baseline="0">
              <a:solidFill>
                <a:schemeClr val="dk1"/>
              </a:solidFill>
              <a:effectLst/>
              <a:latin typeface="+mn-lt"/>
              <a:ea typeface="+mn-ea"/>
              <a:cs typeface="+mn-cs"/>
            </a:rPr>
            <a:t>Margem de Erro total (IC 95%): R$1,45 (</a:t>
          </a:r>
          <a:r>
            <a:rPr lang="pt-BR" sz="1600" b="0" i="0" u="none" strike="noStrike">
              <a:solidFill>
                <a:schemeClr val="dk1"/>
              </a:solidFill>
              <a:effectLst/>
              <a:latin typeface="+mn-lt"/>
              <a:ea typeface="+mn-ea"/>
              <a:cs typeface="+mn-cs"/>
            </a:rPr>
            <a:t>limite inferior</a:t>
          </a:r>
          <a:r>
            <a:rPr lang="pt-BR" sz="1600"/>
            <a:t> </a:t>
          </a:r>
          <a:r>
            <a:rPr lang="pt-BR" sz="1600" b="0" i="0" u="none" strike="noStrike">
              <a:solidFill>
                <a:schemeClr val="dk1"/>
              </a:solidFill>
              <a:effectLst/>
              <a:latin typeface="+mn-lt"/>
              <a:ea typeface="+mn-ea"/>
              <a:cs typeface="+mn-cs"/>
            </a:rPr>
            <a:t> R$89,96 | limite superior</a:t>
          </a:r>
          <a:r>
            <a:rPr lang="pt-BR" sz="1600"/>
            <a:t> </a:t>
          </a:r>
          <a:r>
            <a:rPr lang="pt-BR" sz="1600" b="0" i="0" u="none" strike="noStrike">
              <a:solidFill>
                <a:schemeClr val="dk1"/>
              </a:solidFill>
              <a:effectLst/>
              <a:latin typeface="+mn-lt"/>
              <a:ea typeface="+mn-ea"/>
              <a:cs typeface="+mn-cs"/>
            </a:rPr>
            <a:t> R$92,96)</a:t>
          </a:r>
        </a:p>
        <a:p>
          <a:endParaRPr lang="pt-BR" sz="1600">
            <a:effectLst/>
          </a:endParaRPr>
        </a:p>
        <a:p>
          <a:r>
            <a:rPr lang="pt-BR" sz="1600" baseline="0">
              <a:solidFill>
                <a:schemeClr val="dk1"/>
              </a:solidFill>
              <a:effectLst/>
              <a:latin typeface="+mn-lt"/>
              <a:ea typeface="+mn-ea"/>
              <a:cs typeface="+mn-cs"/>
            </a:rPr>
            <a:t>Margem de Erro Sexo Feminino de 25 a 39 anos (IC 95%): R$0,84  (</a:t>
          </a:r>
          <a:r>
            <a:rPr lang="pt-BR" sz="1600" b="0" i="0" u="none" strike="noStrike">
              <a:solidFill>
                <a:schemeClr val="dk1"/>
              </a:solidFill>
              <a:effectLst/>
              <a:latin typeface="+mn-lt"/>
              <a:ea typeface="+mn-ea"/>
              <a:cs typeface="+mn-cs"/>
            </a:rPr>
            <a:t>limite inferior</a:t>
          </a:r>
          <a:r>
            <a:rPr lang="pt-BR" sz="1600"/>
            <a:t> </a:t>
          </a:r>
          <a:r>
            <a:rPr lang="pt-BR" sz="1600" b="0" i="0" u="none" strike="noStrike">
              <a:solidFill>
                <a:schemeClr val="dk1"/>
              </a:solidFill>
              <a:effectLst/>
              <a:latin typeface="+mn-lt"/>
              <a:ea typeface="+mn-ea"/>
              <a:cs typeface="+mn-cs"/>
            </a:rPr>
            <a:t> R$84,70 | limite superior</a:t>
          </a:r>
          <a:r>
            <a:rPr lang="pt-BR" sz="1600"/>
            <a:t> </a:t>
          </a:r>
          <a:r>
            <a:rPr lang="pt-BR" sz="1600" b="0" i="0" u="none" strike="noStrike">
              <a:solidFill>
                <a:schemeClr val="dk1"/>
              </a:solidFill>
              <a:effectLst/>
              <a:latin typeface="+mn-lt"/>
              <a:ea typeface="+mn-ea"/>
              <a:cs typeface="+mn-cs"/>
            </a:rPr>
            <a:t> R$86,44)</a:t>
          </a:r>
          <a:endParaRPr lang="pt-BR" sz="1600">
            <a:effectLst/>
          </a:endParaRPr>
        </a:p>
        <a:p>
          <a:pPr eaLnBrk="1" fontAlgn="auto" latinLnBrk="0" hangingPunct="1"/>
          <a:endParaRPr lang="pt-BR" sz="1600" baseline="0">
            <a:solidFill>
              <a:schemeClr val="dk1"/>
            </a:solidFill>
            <a:effectLst/>
            <a:latin typeface="+mn-lt"/>
            <a:ea typeface="+mn-ea"/>
            <a:cs typeface="+mn-cs"/>
          </a:endParaRPr>
        </a:p>
        <a:p>
          <a:pPr eaLnBrk="1" fontAlgn="auto" latinLnBrk="0" hangingPunct="1"/>
          <a:r>
            <a:rPr lang="pt-BR" sz="1600" baseline="0">
              <a:solidFill>
                <a:schemeClr val="dk1"/>
              </a:solidFill>
              <a:effectLst/>
              <a:latin typeface="+mn-lt"/>
              <a:ea typeface="+mn-ea"/>
              <a:cs typeface="+mn-cs"/>
            </a:rPr>
            <a:t>Margem de Erro Sexo Masculino acima de 30 anos (IC 95%): R$2,30 (</a:t>
          </a:r>
          <a:r>
            <a:rPr lang="pt-BR" sz="1600" b="0" i="0" u="none" strike="noStrike">
              <a:solidFill>
                <a:schemeClr val="dk1"/>
              </a:solidFill>
              <a:effectLst/>
              <a:latin typeface="+mn-lt"/>
              <a:ea typeface="+mn-ea"/>
              <a:cs typeface="+mn-cs"/>
            </a:rPr>
            <a:t>limite inferior</a:t>
          </a:r>
          <a:r>
            <a:rPr lang="pt-BR" sz="1600"/>
            <a:t> </a:t>
          </a:r>
          <a:r>
            <a:rPr lang="pt-BR" sz="1600" b="0" i="0" u="none" strike="noStrike">
              <a:solidFill>
                <a:schemeClr val="dk1"/>
              </a:solidFill>
              <a:effectLst/>
              <a:latin typeface="+mn-lt"/>
              <a:ea typeface="+mn-ea"/>
              <a:cs typeface="+mn-cs"/>
            </a:rPr>
            <a:t> R$92,59 | limite superior</a:t>
          </a:r>
          <a:r>
            <a:rPr lang="pt-BR" sz="1600"/>
            <a:t> </a:t>
          </a:r>
          <a:r>
            <a:rPr lang="pt-BR" sz="1600" b="0" i="0" u="none" strike="noStrike">
              <a:solidFill>
                <a:schemeClr val="dk1"/>
              </a:solidFill>
              <a:effectLst/>
              <a:latin typeface="+mn-lt"/>
              <a:ea typeface="+mn-ea"/>
              <a:cs typeface="+mn-cs"/>
            </a:rPr>
            <a:t> R$97,34)</a:t>
          </a:r>
          <a:endParaRPr lang="pt-BR" sz="1600">
            <a:effectLst/>
          </a:endParaRPr>
        </a:p>
        <a:p>
          <a:endParaRPr lang="pt-BR" sz="1100"/>
        </a:p>
      </xdr:txBody>
    </xdr:sp>
    <xdr:clientData/>
  </xdr:twoCellAnchor>
  <xdr:twoCellAnchor>
    <xdr:from>
      <xdr:col>8</xdr:col>
      <xdr:colOff>443645</xdr:colOff>
      <xdr:row>62</xdr:row>
      <xdr:rowOff>86264</xdr:rowOff>
    </xdr:from>
    <xdr:to>
      <xdr:col>10</xdr:col>
      <xdr:colOff>135558</xdr:colOff>
      <xdr:row>64</xdr:row>
      <xdr:rowOff>86264</xdr:rowOff>
    </xdr:to>
    <xdr:sp macro="" textlink="">
      <xdr:nvSpPr>
        <xdr:cNvPr id="16" name="Seta: para a Direita 15">
          <a:extLst>
            <a:ext uri="{FF2B5EF4-FFF2-40B4-BE49-F238E27FC236}">
              <a16:creationId xmlns:a16="http://schemas.microsoft.com/office/drawing/2014/main" id="{6311846E-6E91-4A30-9593-F36D9BE4F125}"/>
            </a:ext>
          </a:extLst>
        </xdr:cNvPr>
        <xdr:cNvSpPr/>
      </xdr:nvSpPr>
      <xdr:spPr>
        <a:xfrm>
          <a:off x="6777898" y="13075181"/>
          <a:ext cx="1072140" cy="418997"/>
        </a:xfrm>
        <a:prstGeom prst="rightArrow">
          <a:avLst/>
        </a:prstGeom>
        <a:solidFill>
          <a:schemeClr val="accent6">
            <a:alpha val="5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pt-BR" sz="1100"/>
        </a:p>
      </xdr:txBody>
    </xdr:sp>
    <xdr:clientData/>
  </xdr:twoCellAnchor>
  <xdr:twoCellAnchor>
    <xdr:from>
      <xdr:col>2</xdr:col>
      <xdr:colOff>172529</xdr:colOff>
      <xdr:row>70</xdr:row>
      <xdr:rowOff>61617</xdr:rowOff>
    </xdr:from>
    <xdr:to>
      <xdr:col>16</xdr:col>
      <xdr:colOff>283440</xdr:colOff>
      <xdr:row>78</xdr:row>
      <xdr:rowOff>86265</xdr:rowOff>
    </xdr:to>
    <xdr:sp macro="" textlink="">
      <xdr:nvSpPr>
        <xdr:cNvPr id="19" name="CaixaDeTexto 18">
          <a:extLst>
            <a:ext uri="{FF2B5EF4-FFF2-40B4-BE49-F238E27FC236}">
              <a16:creationId xmlns:a16="http://schemas.microsoft.com/office/drawing/2014/main" id="{C42ECC44-4D7A-459F-8CC7-C3146C57D268}"/>
            </a:ext>
          </a:extLst>
        </xdr:cNvPr>
        <xdr:cNvSpPr txBox="1"/>
      </xdr:nvSpPr>
      <xdr:spPr>
        <a:xfrm>
          <a:off x="2366103" y="14726523"/>
          <a:ext cx="9772496" cy="17006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t>*A forma de obtenção de resultados do formulário</a:t>
          </a:r>
          <a:r>
            <a:rPr lang="pt-BR" sz="1200" baseline="0"/>
            <a:t> pode indicar um viés pois agrega resultados apenas de contatos dos fundadores.</a:t>
          </a:r>
        </a:p>
        <a:p>
          <a:endParaRPr lang="pt-BR" sz="1600" baseline="0"/>
        </a:p>
        <a:p>
          <a:r>
            <a:rPr lang="pt-BR" sz="1600" b="1" baseline="0"/>
            <a:t>Conclusões</a:t>
          </a:r>
        </a:p>
        <a:p>
          <a:r>
            <a:rPr lang="pt-BR" sz="1600" baseline="0">
              <a:solidFill>
                <a:schemeClr val="dk1"/>
              </a:solidFill>
              <a:effectLst/>
              <a:latin typeface="+mn-lt"/>
              <a:ea typeface="+mn-ea"/>
              <a:cs typeface="+mn-cs"/>
            </a:rPr>
            <a:t>* O interesse no curso está acima do necessário para os fundadores | 32,5% e 25%, respectivamente</a:t>
          </a:r>
        </a:p>
        <a:p>
          <a:r>
            <a:rPr lang="pt-BR" sz="1600" baseline="0">
              <a:solidFill>
                <a:schemeClr val="dk1"/>
              </a:solidFill>
              <a:effectLst/>
              <a:latin typeface="+mn-lt"/>
              <a:ea typeface="+mn-ea"/>
              <a:cs typeface="+mn-cs"/>
            </a:rPr>
            <a:t>* A média de valor que clientes pagariam (R$91,46) está acima do mínimo estipulado (R$85,00)</a:t>
          </a:r>
        </a:p>
        <a:p>
          <a:r>
            <a:rPr lang="pt-BR" sz="1600" baseline="0">
              <a:solidFill>
                <a:schemeClr val="dk1"/>
              </a:solidFill>
              <a:effectLst/>
              <a:latin typeface="+mn-lt"/>
              <a:ea typeface="+mn-ea"/>
              <a:cs typeface="+mn-cs"/>
            </a:rPr>
            <a:t>* Público alvo: homens acima de 30 anos e mulheres entre 25 e 39 anos</a:t>
          </a:r>
        </a:p>
        <a:p>
          <a:endParaRPr lang="pt-BR" sz="1100" baseline="0">
            <a:solidFill>
              <a:schemeClr val="dk1"/>
            </a:solidFill>
            <a:effectLst/>
            <a:latin typeface="+mn-lt"/>
            <a:ea typeface="+mn-ea"/>
            <a:cs typeface="+mn-cs"/>
          </a:endParaRPr>
        </a:p>
      </xdr:txBody>
    </xdr:sp>
    <xdr:clientData/>
  </xdr:twoCellAnchor>
  <xdr:twoCellAnchor>
    <xdr:from>
      <xdr:col>1</xdr:col>
      <xdr:colOff>418998</xdr:colOff>
      <xdr:row>69</xdr:row>
      <xdr:rowOff>184852</xdr:rowOff>
    </xdr:from>
    <xdr:to>
      <xdr:col>2</xdr:col>
      <xdr:colOff>406674</xdr:colOff>
      <xdr:row>76</xdr:row>
      <xdr:rowOff>172529</xdr:rowOff>
    </xdr:to>
    <xdr:sp macro="" textlink="">
      <xdr:nvSpPr>
        <xdr:cNvPr id="18" name="Listra Diagonal 17">
          <a:extLst>
            <a:ext uri="{FF2B5EF4-FFF2-40B4-BE49-F238E27FC236}">
              <a16:creationId xmlns:a16="http://schemas.microsoft.com/office/drawing/2014/main" id="{84AE6D11-D47F-4C17-B735-64D6BB4D8573}"/>
            </a:ext>
          </a:extLst>
        </xdr:cNvPr>
        <xdr:cNvSpPr/>
      </xdr:nvSpPr>
      <xdr:spPr>
        <a:xfrm>
          <a:off x="1109111" y="14640259"/>
          <a:ext cx="1491137" cy="1454167"/>
        </a:xfrm>
        <a:prstGeom prst="diagStripe">
          <a:avLst/>
        </a:prstGeom>
        <a:solidFill>
          <a:schemeClr val="accent6">
            <a:alpha val="5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0</xdr:col>
      <xdr:colOff>382026</xdr:colOff>
      <xdr:row>18</xdr:row>
      <xdr:rowOff>1</xdr:rowOff>
    </xdr:from>
    <xdr:to>
      <xdr:col>5</xdr:col>
      <xdr:colOff>271116</xdr:colOff>
      <xdr:row>19</xdr:row>
      <xdr:rowOff>24647</xdr:rowOff>
    </xdr:to>
    <xdr:sp macro="" textlink="">
      <xdr:nvSpPr>
        <xdr:cNvPr id="20" name="CaixaDeTexto 19">
          <a:extLst>
            <a:ext uri="{FF2B5EF4-FFF2-40B4-BE49-F238E27FC236}">
              <a16:creationId xmlns:a16="http://schemas.microsoft.com/office/drawing/2014/main" id="{9EBD522D-5706-4AA5-BBB3-982F4DF3CE9D}"/>
            </a:ext>
          </a:extLst>
        </xdr:cNvPr>
        <xdr:cNvSpPr txBox="1"/>
      </xdr:nvSpPr>
      <xdr:spPr>
        <a:xfrm>
          <a:off x="382026" y="3770977"/>
          <a:ext cx="4153004" cy="2341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100" b="1"/>
            <a:t>LEGENDA</a:t>
          </a:r>
          <a:r>
            <a:rPr lang="pt-BR" sz="1100" b="1" baseline="0"/>
            <a:t> _ </a:t>
          </a:r>
          <a:r>
            <a:rPr lang="pt-BR" sz="1100"/>
            <a:t>1 interessado</a:t>
          </a:r>
          <a:r>
            <a:rPr lang="pt-BR" sz="1100" baseline="0"/>
            <a:t> | </a:t>
          </a:r>
          <a:r>
            <a:rPr lang="pt-BR" sz="1100"/>
            <a:t>0</a:t>
          </a:r>
          <a:r>
            <a:rPr lang="pt-BR" sz="1100" baseline="0"/>
            <a:t> não interessado</a:t>
          </a:r>
          <a:endParaRPr lang="pt-BR" sz="1100"/>
        </a:p>
      </xdr:txBody>
    </xdr:sp>
    <xdr:clientData/>
  </xdr:twoCellAnchor>
  <xdr:twoCellAnchor>
    <xdr:from>
      <xdr:col>7</xdr:col>
      <xdr:colOff>332734</xdr:colOff>
      <xdr:row>41</xdr:row>
      <xdr:rowOff>197177</xdr:rowOff>
    </xdr:from>
    <xdr:to>
      <xdr:col>13</xdr:col>
      <xdr:colOff>345058</xdr:colOff>
      <xdr:row>43</xdr:row>
      <xdr:rowOff>12324</xdr:rowOff>
    </xdr:to>
    <xdr:sp macro="" textlink="">
      <xdr:nvSpPr>
        <xdr:cNvPr id="21" name="CaixaDeTexto 20">
          <a:extLst>
            <a:ext uri="{FF2B5EF4-FFF2-40B4-BE49-F238E27FC236}">
              <a16:creationId xmlns:a16="http://schemas.microsoft.com/office/drawing/2014/main" id="{5B35834F-5193-4E3E-9694-ABBC80539FB9}"/>
            </a:ext>
          </a:extLst>
        </xdr:cNvPr>
        <xdr:cNvSpPr txBox="1"/>
      </xdr:nvSpPr>
      <xdr:spPr>
        <a:xfrm>
          <a:off x="5976874" y="8786621"/>
          <a:ext cx="4153004" cy="2341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100" b="1"/>
            <a:t>LEGENDA</a:t>
          </a:r>
          <a:r>
            <a:rPr lang="pt-BR" sz="1100" b="1" baseline="0"/>
            <a:t> _ </a:t>
          </a:r>
          <a:r>
            <a:rPr lang="pt-BR" sz="1100"/>
            <a:t>1 interessado</a:t>
          </a:r>
          <a:r>
            <a:rPr lang="pt-BR" sz="1100" baseline="0"/>
            <a:t> | </a:t>
          </a:r>
          <a:r>
            <a:rPr lang="pt-BR" sz="1100"/>
            <a:t>0</a:t>
          </a:r>
          <a:r>
            <a:rPr lang="pt-BR" sz="1100" baseline="0"/>
            <a:t> não interessado</a:t>
          </a:r>
          <a:endParaRPr lang="pt-BR"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e Reiniger" refreshedDate="46077.466198958333" createdVersion="7" refreshedVersion="7" minRefreshableVersion="3" recordCount="120" xr:uid="{62F92B68-92DA-494B-A0F5-A9B30888EDDB}">
  <cacheSource type="worksheet">
    <worksheetSource ref="A1:G121" sheet="dados_da_campanha"/>
  </cacheSource>
  <cacheFields count="7">
    <cacheField name="id_do_respondente" numFmtId="0">
      <sharedItems containsSemiMixedTypes="0" containsString="0" containsNumber="1" containsInteger="1" minValue="1" maxValue="120"/>
    </cacheField>
    <cacheField name="interesse_no_Curso" numFmtId="0">
      <sharedItems containsSemiMixedTypes="0" containsString="0" containsNumber="1" containsInteger="1" minValue="0" maxValue="1" count="2">
        <n v="0"/>
        <n v="1"/>
      </sharedItems>
    </cacheField>
    <cacheField name="valor_que_pagaria" numFmtId="0">
      <sharedItems containsSemiMixedTypes="0" containsString="0" containsNumber="1" containsInteger="1" minValue="50" maxValue="110"/>
    </cacheField>
    <cacheField name="sexo" numFmtId="0">
      <sharedItems count="2">
        <s v="M"/>
        <s v="F"/>
      </sharedItems>
    </cacheField>
    <cacheField name="faixa_etária" numFmtId="0">
      <sharedItems count="9">
        <s v="35-39"/>
        <s v="45-49"/>
        <s v="30-34"/>
        <s v="25-29"/>
        <s v="40-44"/>
        <s v="50-54"/>
        <s v="18-24"/>
        <s v="0-18"/>
        <s v="Menos de 18"/>
      </sharedItems>
    </cacheField>
    <cacheField name="escolaridade" numFmtId="0">
      <sharedItems count="4">
        <s v="Ensino Fundamental"/>
        <s v="Ensino Médio"/>
        <s v="Ensino Superior"/>
        <s v="Pós Graduação"/>
      </sharedItems>
    </cacheField>
    <cacheField name="valor_que_pagaria_interessados" numFmtId="0">
      <sharedItems containsSemiMixedTypes="0" containsString="0" containsNumber="1" containsInteger="1" minValue="0" maxValue="1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e Reiniger" refreshedDate="46080.421140393519" createdVersion="7" refreshedVersion="7" minRefreshableVersion="3" recordCount="120" xr:uid="{2EA9E0B8-BBB5-45D2-9EEB-B1F3DB218A29}">
  <cacheSource type="worksheet">
    <worksheetSource ref="A1:F121" sheet="dados_da_campanha"/>
  </cacheSource>
  <cacheFields count="6">
    <cacheField name="id_do_respondente" numFmtId="0">
      <sharedItems containsSemiMixedTypes="0" containsString="0" containsNumber="1" containsInteger="1" minValue="1" maxValue="120"/>
    </cacheField>
    <cacheField name="interesse_no_Curso" numFmtId="0">
      <sharedItems containsSemiMixedTypes="0" containsString="0" containsNumber="1" containsInteger="1" minValue="0" maxValue="1" count="2">
        <n v="0"/>
        <n v="1"/>
      </sharedItems>
    </cacheField>
    <cacheField name="valor_que_pagaria" numFmtId="0">
      <sharedItems containsSemiMixedTypes="0" containsString="0" containsNumber="1" containsInteger="1" minValue="50" maxValue="110" count="23">
        <n v="50"/>
        <n v="86"/>
        <n v="110"/>
        <n v="87"/>
        <n v="74"/>
        <n v="89"/>
        <n v="105"/>
        <n v="106"/>
        <n v="88"/>
        <n v="99"/>
        <n v="80"/>
        <n v="91"/>
        <n v="94"/>
        <n v="90"/>
        <n v="98"/>
        <n v="82"/>
        <n v="97"/>
        <n v="95"/>
        <n v="84"/>
        <n v="103"/>
        <n v="96"/>
        <n v="92"/>
        <n v="73"/>
      </sharedItems>
    </cacheField>
    <cacheField name="sexo" numFmtId="0">
      <sharedItems count="2">
        <s v="M"/>
        <s v="F"/>
      </sharedItems>
    </cacheField>
    <cacheField name="faixa_etária" numFmtId="0">
      <sharedItems count="9">
        <s v="35-39"/>
        <s v="45-49"/>
        <s v="30-34"/>
        <s v="25-29"/>
        <s v="40-44"/>
        <s v="50-54"/>
        <s v="18-24"/>
        <s v="0-18"/>
        <s v="Menos de 18"/>
      </sharedItems>
    </cacheField>
    <cacheField name="escolaridade" numFmtId="0">
      <sharedItems count="4">
        <s v="Ensino Fundamental"/>
        <s v="Ensino Médio"/>
        <s v="Ensino Superior"/>
        <s v="Pós Graduaçã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n v="50"/>
    <x v="0"/>
    <x v="0"/>
    <x v="0"/>
    <n v="0"/>
  </r>
  <r>
    <n v="2"/>
    <x v="0"/>
    <n v="50"/>
    <x v="0"/>
    <x v="1"/>
    <x v="1"/>
    <n v="0"/>
  </r>
  <r>
    <n v="3"/>
    <x v="0"/>
    <n v="50"/>
    <x v="0"/>
    <x v="0"/>
    <x v="1"/>
    <n v="0"/>
  </r>
  <r>
    <n v="4"/>
    <x v="0"/>
    <n v="50"/>
    <x v="1"/>
    <x v="0"/>
    <x v="2"/>
    <n v="0"/>
  </r>
  <r>
    <n v="5"/>
    <x v="0"/>
    <n v="50"/>
    <x v="0"/>
    <x v="2"/>
    <x v="2"/>
    <n v="0"/>
  </r>
  <r>
    <n v="6"/>
    <x v="1"/>
    <n v="86"/>
    <x v="1"/>
    <x v="3"/>
    <x v="3"/>
    <n v="86"/>
  </r>
  <r>
    <n v="7"/>
    <x v="0"/>
    <n v="50"/>
    <x v="1"/>
    <x v="4"/>
    <x v="0"/>
    <n v="0"/>
  </r>
  <r>
    <n v="8"/>
    <x v="1"/>
    <n v="110"/>
    <x v="0"/>
    <x v="5"/>
    <x v="0"/>
    <n v="110"/>
  </r>
  <r>
    <n v="9"/>
    <x v="0"/>
    <n v="50"/>
    <x v="0"/>
    <x v="3"/>
    <x v="2"/>
    <n v="0"/>
  </r>
  <r>
    <n v="10"/>
    <x v="1"/>
    <n v="87"/>
    <x v="1"/>
    <x v="2"/>
    <x v="3"/>
    <n v="87"/>
  </r>
  <r>
    <n v="11"/>
    <x v="0"/>
    <n v="50"/>
    <x v="0"/>
    <x v="6"/>
    <x v="0"/>
    <n v="0"/>
  </r>
  <r>
    <n v="12"/>
    <x v="1"/>
    <n v="74"/>
    <x v="1"/>
    <x v="7"/>
    <x v="1"/>
    <n v="74"/>
  </r>
  <r>
    <n v="13"/>
    <x v="1"/>
    <n v="89"/>
    <x v="0"/>
    <x v="2"/>
    <x v="2"/>
    <n v="89"/>
  </r>
  <r>
    <n v="14"/>
    <x v="1"/>
    <n v="105"/>
    <x v="0"/>
    <x v="1"/>
    <x v="1"/>
    <n v="105"/>
  </r>
  <r>
    <n v="15"/>
    <x v="1"/>
    <n v="106"/>
    <x v="0"/>
    <x v="1"/>
    <x v="2"/>
    <n v="106"/>
  </r>
  <r>
    <n v="16"/>
    <x v="0"/>
    <n v="50"/>
    <x v="0"/>
    <x v="4"/>
    <x v="1"/>
    <n v="0"/>
  </r>
  <r>
    <n v="17"/>
    <x v="0"/>
    <n v="50"/>
    <x v="1"/>
    <x v="2"/>
    <x v="1"/>
    <n v="0"/>
  </r>
  <r>
    <n v="18"/>
    <x v="1"/>
    <n v="88"/>
    <x v="0"/>
    <x v="2"/>
    <x v="1"/>
    <n v="88"/>
  </r>
  <r>
    <n v="19"/>
    <x v="0"/>
    <n v="50"/>
    <x v="0"/>
    <x v="2"/>
    <x v="0"/>
    <n v="0"/>
  </r>
  <r>
    <n v="20"/>
    <x v="0"/>
    <n v="50"/>
    <x v="0"/>
    <x v="1"/>
    <x v="1"/>
    <n v="0"/>
  </r>
  <r>
    <n v="21"/>
    <x v="0"/>
    <n v="50"/>
    <x v="0"/>
    <x v="1"/>
    <x v="2"/>
    <n v="0"/>
  </r>
  <r>
    <n v="22"/>
    <x v="1"/>
    <n v="99"/>
    <x v="0"/>
    <x v="0"/>
    <x v="3"/>
    <n v="99"/>
  </r>
  <r>
    <n v="23"/>
    <x v="1"/>
    <n v="88"/>
    <x v="0"/>
    <x v="0"/>
    <x v="3"/>
    <n v="88"/>
  </r>
  <r>
    <n v="24"/>
    <x v="0"/>
    <n v="50"/>
    <x v="1"/>
    <x v="3"/>
    <x v="3"/>
    <n v="0"/>
  </r>
  <r>
    <n v="25"/>
    <x v="1"/>
    <n v="80"/>
    <x v="1"/>
    <x v="6"/>
    <x v="3"/>
    <n v="80"/>
  </r>
  <r>
    <n v="26"/>
    <x v="0"/>
    <n v="50"/>
    <x v="0"/>
    <x v="4"/>
    <x v="0"/>
    <n v="0"/>
  </r>
  <r>
    <n v="27"/>
    <x v="0"/>
    <n v="50"/>
    <x v="0"/>
    <x v="3"/>
    <x v="0"/>
    <n v="0"/>
  </r>
  <r>
    <n v="28"/>
    <x v="0"/>
    <n v="50"/>
    <x v="0"/>
    <x v="2"/>
    <x v="0"/>
    <n v="0"/>
  </r>
  <r>
    <n v="29"/>
    <x v="1"/>
    <n v="91"/>
    <x v="0"/>
    <x v="0"/>
    <x v="2"/>
    <n v="91"/>
  </r>
  <r>
    <n v="30"/>
    <x v="1"/>
    <n v="94"/>
    <x v="0"/>
    <x v="0"/>
    <x v="3"/>
    <n v="94"/>
  </r>
  <r>
    <n v="31"/>
    <x v="0"/>
    <n v="50"/>
    <x v="1"/>
    <x v="3"/>
    <x v="3"/>
    <n v="0"/>
  </r>
  <r>
    <n v="32"/>
    <x v="0"/>
    <n v="50"/>
    <x v="0"/>
    <x v="1"/>
    <x v="2"/>
    <n v="0"/>
  </r>
  <r>
    <n v="33"/>
    <x v="1"/>
    <n v="99"/>
    <x v="0"/>
    <x v="0"/>
    <x v="1"/>
    <n v="99"/>
  </r>
  <r>
    <n v="34"/>
    <x v="1"/>
    <n v="90"/>
    <x v="0"/>
    <x v="2"/>
    <x v="1"/>
    <n v="90"/>
  </r>
  <r>
    <n v="35"/>
    <x v="0"/>
    <n v="50"/>
    <x v="1"/>
    <x v="3"/>
    <x v="0"/>
    <n v="0"/>
  </r>
  <r>
    <n v="36"/>
    <x v="0"/>
    <n v="50"/>
    <x v="0"/>
    <x v="0"/>
    <x v="1"/>
    <n v="0"/>
  </r>
  <r>
    <n v="37"/>
    <x v="0"/>
    <n v="50"/>
    <x v="1"/>
    <x v="1"/>
    <x v="0"/>
    <n v="0"/>
  </r>
  <r>
    <n v="38"/>
    <x v="0"/>
    <n v="50"/>
    <x v="0"/>
    <x v="3"/>
    <x v="1"/>
    <n v="0"/>
  </r>
  <r>
    <n v="39"/>
    <x v="0"/>
    <n v="50"/>
    <x v="0"/>
    <x v="5"/>
    <x v="1"/>
    <n v="0"/>
  </r>
  <r>
    <n v="40"/>
    <x v="0"/>
    <n v="50"/>
    <x v="0"/>
    <x v="4"/>
    <x v="1"/>
    <n v="0"/>
  </r>
  <r>
    <n v="41"/>
    <x v="0"/>
    <n v="50"/>
    <x v="0"/>
    <x v="2"/>
    <x v="3"/>
    <n v="0"/>
  </r>
  <r>
    <n v="42"/>
    <x v="1"/>
    <n v="91"/>
    <x v="0"/>
    <x v="2"/>
    <x v="2"/>
    <n v="91"/>
  </r>
  <r>
    <n v="43"/>
    <x v="0"/>
    <n v="50"/>
    <x v="0"/>
    <x v="4"/>
    <x v="3"/>
    <n v="0"/>
  </r>
  <r>
    <n v="44"/>
    <x v="0"/>
    <n v="50"/>
    <x v="0"/>
    <x v="2"/>
    <x v="0"/>
    <n v="0"/>
  </r>
  <r>
    <n v="45"/>
    <x v="0"/>
    <n v="50"/>
    <x v="0"/>
    <x v="4"/>
    <x v="3"/>
    <n v="0"/>
  </r>
  <r>
    <n v="46"/>
    <x v="0"/>
    <n v="50"/>
    <x v="0"/>
    <x v="0"/>
    <x v="3"/>
    <n v="0"/>
  </r>
  <r>
    <n v="47"/>
    <x v="1"/>
    <n v="94"/>
    <x v="0"/>
    <x v="0"/>
    <x v="0"/>
    <n v="94"/>
  </r>
  <r>
    <n v="48"/>
    <x v="0"/>
    <n v="50"/>
    <x v="0"/>
    <x v="1"/>
    <x v="0"/>
    <n v="0"/>
  </r>
  <r>
    <n v="49"/>
    <x v="1"/>
    <n v="90"/>
    <x v="0"/>
    <x v="2"/>
    <x v="0"/>
    <n v="90"/>
  </r>
  <r>
    <n v="50"/>
    <x v="0"/>
    <n v="50"/>
    <x v="0"/>
    <x v="0"/>
    <x v="2"/>
    <n v="0"/>
  </r>
  <r>
    <n v="51"/>
    <x v="0"/>
    <n v="50"/>
    <x v="1"/>
    <x v="0"/>
    <x v="3"/>
    <n v="0"/>
  </r>
  <r>
    <n v="52"/>
    <x v="0"/>
    <n v="50"/>
    <x v="0"/>
    <x v="4"/>
    <x v="0"/>
    <n v="0"/>
  </r>
  <r>
    <n v="53"/>
    <x v="1"/>
    <n v="89"/>
    <x v="0"/>
    <x v="2"/>
    <x v="0"/>
    <n v="89"/>
  </r>
  <r>
    <n v="54"/>
    <x v="1"/>
    <n v="98"/>
    <x v="0"/>
    <x v="0"/>
    <x v="3"/>
    <n v="98"/>
  </r>
  <r>
    <n v="55"/>
    <x v="0"/>
    <n v="50"/>
    <x v="0"/>
    <x v="8"/>
    <x v="2"/>
    <n v="0"/>
  </r>
  <r>
    <n v="56"/>
    <x v="0"/>
    <n v="50"/>
    <x v="0"/>
    <x v="0"/>
    <x v="1"/>
    <n v="0"/>
  </r>
  <r>
    <n v="57"/>
    <x v="0"/>
    <n v="50"/>
    <x v="0"/>
    <x v="2"/>
    <x v="1"/>
    <n v="0"/>
  </r>
  <r>
    <n v="58"/>
    <x v="1"/>
    <n v="82"/>
    <x v="1"/>
    <x v="6"/>
    <x v="0"/>
    <n v="82"/>
  </r>
  <r>
    <n v="59"/>
    <x v="0"/>
    <n v="50"/>
    <x v="0"/>
    <x v="0"/>
    <x v="2"/>
    <n v="0"/>
  </r>
  <r>
    <n v="60"/>
    <x v="0"/>
    <n v="50"/>
    <x v="1"/>
    <x v="3"/>
    <x v="2"/>
    <n v="0"/>
  </r>
  <r>
    <n v="61"/>
    <x v="0"/>
    <n v="50"/>
    <x v="0"/>
    <x v="4"/>
    <x v="3"/>
    <n v="0"/>
  </r>
  <r>
    <n v="62"/>
    <x v="0"/>
    <n v="50"/>
    <x v="1"/>
    <x v="0"/>
    <x v="2"/>
    <n v="0"/>
  </r>
  <r>
    <n v="63"/>
    <x v="0"/>
    <n v="50"/>
    <x v="1"/>
    <x v="0"/>
    <x v="3"/>
    <n v="0"/>
  </r>
  <r>
    <n v="64"/>
    <x v="1"/>
    <n v="97"/>
    <x v="0"/>
    <x v="0"/>
    <x v="3"/>
    <n v="97"/>
  </r>
  <r>
    <n v="65"/>
    <x v="0"/>
    <n v="50"/>
    <x v="0"/>
    <x v="2"/>
    <x v="0"/>
    <n v="0"/>
  </r>
  <r>
    <n v="66"/>
    <x v="0"/>
    <n v="50"/>
    <x v="1"/>
    <x v="1"/>
    <x v="2"/>
    <n v="0"/>
  </r>
  <r>
    <n v="67"/>
    <x v="1"/>
    <n v="95"/>
    <x v="0"/>
    <x v="0"/>
    <x v="1"/>
    <n v="95"/>
  </r>
  <r>
    <n v="68"/>
    <x v="1"/>
    <n v="86"/>
    <x v="1"/>
    <x v="3"/>
    <x v="0"/>
    <n v="86"/>
  </r>
  <r>
    <n v="69"/>
    <x v="0"/>
    <n v="50"/>
    <x v="0"/>
    <x v="2"/>
    <x v="3"/>
    <n v="0"/>
  </r>
  <r>
    <n v="70"/>
    <x v="1"/>
    <n v="86"/>
    <x v="1"/>
    <x v="2"/>
    <x v="0"/>
    <n v="86"/>
  </r>
  <r>
    <n v="71"/>
    <x v="0"/>
    <n v="50"/>
    <x v="0"/>
    <x v="3"/>
    <x v="1"/>
    <n v="0"/>
  </r>
  <r>
    <n v="72"/>
    <x v="1"/>
    <n v="84"/>
    <x v="1"/>
    <x v="3"/>
    <x v="1"/>
    <n v="84"/>
  </r>
  <r>
    <n v="73"/>
    <x v="1"/>
    <n v="86"/>
    <x v="1"/>
    <x v="2"/>
    <x v="3"/>
    <n v="86"/>
  </r>
  <r>
    <n v="74"/>
    <x v="0"/>
    <n v="50"/>
    <x v="1"/>
    <x v="6"/>
    <x v="0"/>
    <n v="0"/>
  </r>
  <r>
    <n v="75"/>
    <x v="1"/>
    <n v="103"/>
    <x v="0"/>
    <x v="1"/>
    <x v="2"/>
    <n v="103"/>
  </r>
  <r>
    <n v="76"/>
    <x v="1"/>
    <n v="89"/>
    <x v="0"/>
    <x v="0"/>
    <x v="1"/>
    <n v="89"/>
  </r>
  <r>
    <n v="77"/>
    <x v="1"/>
    <n v="84"/>
    <x v="1"/>
    <x v="3"/>
    <x v="1"/>
    <n v="84"/>
  </r>
  <r>
    <n v="78"/>
    <x v="0"/>
    <n v="50"/>
    <x v="1"/>
    <x v="2"/>
    <x v="2"/>
    <n v="0"/>
  </r>
  <r>
    <n v="79"/>
    <x v="0"/>
    <n v="50"/>
    <x v="0"/>
    <x v="0"/>
    <x v="1"/>
    <n v="0"/>
  </r>
  <r>
    <n v="80"/>
    <x v="0"/>
    <n v="50"/>
    <x v="0"/>
    <x v="1"/>
    <x v="3"/>
    <n v="0"/>
  </r>
  <r>
    <n v="81"/>
    <x v="1"/>
    <n v="96"/>
    <x v="0"/>
    <x v="0"/>
    <x v="0"/>
    <n v="96"/>
  </r>
  <r>
    <n v="82"/>
    <x v="1"/>
    <n v="92"/>
    <x v="0"/>
    <x v="0"/>
    <x v="3"/>
    <n v="92"/>
  </r>
  <r>
    <n v="83"/>
    <x v="0"/>
    <n v="50"/>
    <x v="0"/>
    <x v="5"/>
    <x v="3"/>
    <n v="0"/>
  </r>
  <r>
    <n v="84"/>
    <x v="0"/>
    <n v="50"/>
    <x v="0"/>
    <x v="3"/>
    <x v="2"/>
    <n v="0"/>
  </r>
  <r>
    <n v="85"/>
    <x v="0"/>
    <n v="50"/>
    <x v="1"/>
    <x v="0"/>
    <x v="2"/>
    <n v="0"/>
  </r>
  <r>
    <n v="86"/>
    <x v="0"/>
    <n v="50"/>
    <x v="0"/>
    <x v="2"/>
    <x v="1"/>
    <n v="0"/>
  </r>
  <r>
    <n v="87"/>
    <x v="0"/>
    <n v="50"/>
    <x v="0"/>
    <x v="2"/>
    <x v="2"/>
    <n v="0"/>
  </r>
  <r>
    <n v="88"/>
    <x v="0"/>
    <n v="50"/>
    <x v="0"/>
    <x v="4"/>
    <x v="3"/>
    <n v="0"/>
  </r>
  <r>
    <n v="89"/>
    <x v="0"/>
    <n v="50"/>
    <x v="0"/>
    <x v="2"/>
    <x v="3"/>
    <n v="0"/>
  </r>
  <r>
    <n v="90"/>
    <x v="0"/>
    <n v="50"/>
    <x v="1"/>
    <x v="1"/>
    <x v="3"/>
    <n v="0"/>
  </r>
  <r>
    <n v="91"/>
    <x v="1"/>
    <n v="97"/>
    <x v="0"/>
    <x v="0"/>
    <x v="2"/>
    <n v="97"/>
  </r>
  <r>
    <n v="92"/>
    <x v="0"/>
    <n v="50"/>
    <x v="0"/>
    <x v="4"/>
    <x v="0"/>
    <n v="0"/>
  </r>
  <r>
    <n v="93"/>
    <x v="1"/>
    <n v="90"/>
    <x v="0"/>
    <x v="2"/>
    <x v="1"/>
    <n v="90"/>
  </r>
  <r>
    <n v="94"/>
    <x v="0"/>
    <n v="50"/>
    <x v="1"/>
    <x v="3"/>
    <x v="1"/>
    <n v="0"/>
  </r>
  <r>
    <n v="95"/>
    <x v="0"/>
    <n v="50"/>
    <x v="0"/>
    <x v="4"/>
    <x v="2"/>
    <n v="0"/>
  </r>
  <r>
    <n v="96"/>
    <x v="0"/>
    <n v="50"/>
    <x v="0"/>
    <x v="1"/>
    <x v="0"/>
    <n v="0"/>
  </r>
  <r>
    <n v="97"/>
    <x v="1"/>
    <n v="92"/>
    <x v="0"/>
    <x v="0"/>
    <x v="2"/>
    <n v="92"/>
  </r>
  <r>
    <n v="98"/>
    <x v="0"/>
    <n v="50"/>
    <x v="0"/>
    <x v="0"/>
    <x v="3"/>
    <n v="0"/>
  </r>
  <r>
    <n v="99"/>
    <x v="0"/>
    <n v="50"/>
    <x v="1"/>
    <x v="4"/>
    <x v="0"/>
    <n v="0"/>
  </r>
  <r>
    <n v="100"/>
    <x v="0"/>
    <n v="50"/>
    <x v="0"/>
    <x v="4"/>
    <x v="0"/>
    <n v="0"/>
  </r>
  <r>
    <n v="101"/>
    <x v="0"/>
    <n v="50"/>
    <x v="0"/>
    <x v="0"/>
    <x v="3"/>
    <n v="0"/>
  </r>
  <r>
    <n v="102"/>
    <x v="0"/>
    <n v="50"/>
    <x v="1"/>
    <x v="4"/>
    <x v="3"/>
    <n v="0"/>
  </r>
  <r>
    <n v="103"/>
    <x v="1"/>
    <n v="94"/>
    <x v="0"/>
    <x v="0"/>
    <x v="3"/>
    <n v="94"/>
  </r>
  <r>
    <n v="104"/>
    <x v="0"/>
    <n v="50"/>
    <x v="0"/>
    <x v="0"/>
    <x v="3"/>
    <n v="0"/>
  </r>
  <r>
    <n v="105"/>
    <x v="1"/>
    <n v="105"/>
    <x v="0"/>
    <x v="1"/>
    <x v="3"/>
    <n v="105"/>
  </r>
  <r>
    <n v="106"/>
    <x v="0"/>
    <n v="50"/>
    <x v="0"/>
    <x v="4"/>
    <x v="0"/>
    <n v="0"/>
  </r>
  <r>
    <n v="107"/>
    <x v="0"/>
    <n v="50"/>
    <x v="0"/>
    <x v="4"/>
    <x v="3"/>
    <n v="0"/>
  </r>
  <r>
    <n v="108"/>
    <x v="0"/>
    <n v="50"/>
    <x v="0"/>
    <x v="2"/>
    <x v="2"/>
    <n v="0"/>
  </r>
  <r>
    <n v="109"/>
    <x v="0"/>
    <n v="50"/>
    <x v="0"/>
    <x v="6"/>
    <x v="2"/>
    <n v="0"/>
  </r>
  <r>
    <n v="110"/>
    <x v="0"/>
    <n v="50"/>
    <x v="0"/>
    <x v="5"/>
    <x v="2"/>
    <n v="0"/>
  </r>
  <r>
    <n v="111"/>
    <x v="0"/>
    <n v="50"/>
    <x v="0"/>
    <x v="0"/>
    <x v="0"/>
    <n v="0"/>
  </r>
  <r>
    <n v="112"/>
    <x v="0"/>
    <n v="50"/>
    <x v="0"/>
    <x v="4"/>
    <x v="3"/>
    <n v="0"/>
  </r>
  <r>
    <n v="113"/>
    <x v="1"/>
    <n v="88"/>
    <x v="0"/>
    <x v="0"/>
    <x v="2"/>
    <n v="88"/>
  </r>
  <r>
    <n v="114"/>
    <x v="0"/>
    <n v="50"/>
    <x v="1"/>
    <x v="3"/>
    <x v="0"/>
    <n v="0"/>
  </r>
  <r>
    <n v="115"/>
    <x v="0"/>
    <n v="50"/>
    <x v="1"/>
    <x v="0"/>
    <x v="1"/>
    <n v="0"/>
  </r>
  <r>
    <n v="116"/>
    <x v="0"/>
    <n v="50"/>
    <x v="0"/>
    <x v="3"/>
    <x v="0"/>
    <n v="0"/>
  </r>
  <r>
    <n v="117"/>
    <x v="0"/>
    <n v="50"/>
    <x v="0"/>
    <x v="0"/>
    <x v="1"/>
    <n v="0"/>
  </r>
  <r>
    <n v="118"/>
    <x v="0"/>
    <n v="50"/>
    <x v="0"/>
    <x v="0"/>
    <x v="0"/>
    <n v="0"/>
  </r>
  <r>
    <n v="119"/>
    <x v="0"/>
    <n v="50"/>
    <x v="0"/>
    <x v="4"/>
    <x v="3"/>
    <n v="0"/>
  </r>
  <r>
    <n v="120"/>
    <x v="1"/>
    <n v="73"/>
    <x v="1"/>
    <x v="7"/>
    <x v="3"/>
    <n v="7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x v="0"/>
  </r>
  <r>
    <n v="2"/>
    <x v="0"/>
    <x v="0"/>
    <x v="0"/>
    <x v="1"/>
    <x v="1"/>
  </r>
  <r>
    <n v="3"/>
    <x v="0"/>
    <x v="0"/>
    <x v="0"/>
    <x v="0"/>
    <x v="1"/>
  </r>
  <r>
    <n v="4"/>
    <x v="0"/>
    <x v="0"/>
    <x v="1"/>
    <x v="0"/>
    <x v="2"/>
  </r>
  <r>
    <n v="5"/>
    <x v="0"/>
    <x v="0"/>
    <x v="0"/>
    <x v="2"/>
    <x v="2"/>
  </r>
  <r>
    <n v="6"/>
    <x v="1"/>
    <x v="1"/>
    <x v="1"/>
    <x v="3"/>
    <x v="3"/>
  </r>
  <r>
    <n v="7"/>
    <x v="0"/>
    <x v="0"/>
    <x v="1"/>
    <x v="4"/>
    <x v="0"/>
  </r>
  <r>
    <n v="8"/>
    <x v="1"/>
    <x v="2"/>
    <x v="0"/>
    <x v="5"/>
    <x v="0"/>
  </r>
  <r>
    <n v="9"/>
    <x v="0"/>
    <x v="0"/>
    <x v="0"/>
    <x v="3"/>
    <x v="2"/>
  </r>
  <r>
    <n v="10"/>
    <x v="1"/>
    <x v="3"/>
    <x v="1"/>
    <x v="2"/>
    <x v="3"/>
  </r>
  <r>
    <n v="11"/>
    <x v="0"/>
    <x v="0"/>
    <x v="0"/>
    <x v="6"/>
    <x v="0"/>
  </r>
  <r>
    <n v="12"/>
    <x v="1"/>
    <x v="4"/>
    <x v="1"/>
    <x v="7"/>
    <x v="1"/>
  </r>
  <r>
    <n v="13"/>
    <x v="1"/>
    <x v="5"/>
    <x v="0"/>
    <x v="2"/>
    <x v="2"/>
  </r>
  <r>
    <n v="14"/>
    <x v="1"/>
    <x v="6"/>
    <x v="0"/>
    <x v="1"/>
    <x v="1"/>
  </r>
  <r>
    <n v="15"/>
    <x v="1"/>
    <x v="7"/>
    <x v="0"/>
    <x v="1"/>
    <x v="2"/>
  </r>
  <r>
    <n v="16"/>
    <x v="0"/>
    <x v="0"/>
    <x v="0"/>
    <x v="4"/>
    <x v="1"/>
  </r>
  <r>
    <n v="17"/>
    <x v="0"/>
    <x v="0"/>
    <x v="1"/>
    <x v="2"/>
    <x v="1"/>
  </r>
  <r>
    <n v="18"/>
    <x v="1"/>
    <x v="8"/>
    <x v="0"/>
    <x v="2"/>
    <x v="1"/>
  </r>
  <r>
    <n v="19"/>
    <x v="0"/>
    <x v="0"/>
    <x v="0"/>
    <x v="2"/>
    <x v="0"/>
  </r>
  <r>
    <n v="20"/>
    <x v="0"/>
    <x v="0"/>
    <x v="0"/>
    <x v="1"/>
    <x v="1"/>
  </r>
  <r>
    <n v="21"/>
    <x v="0"/>
    <x v="0"/>
    <x v="0"/>
    <x v="1"/>
    <x v="2"/>
  </r>
  <r>
    <n v="22"/>
    <x v="1"/>
    <x v="9"/>
    <x v="0"/>
    <x v="0"/>
    <x v="3"/>
  </r>
  <r>
    <n v="23"/>
    <x v="1"/>
    <x v="8"/>
    <x v="0"/>
    <x v="0"/>
    <x v="3"/>
  </r>
  <r>
    <n v="24"/>
    <x v="0"/>
    <x v="0"/>
    <x v="1"/>
    <x v="3"/>
    <x v="3"/>
  </r>
  <r>
    <n v="25"/>
    <x v="1"/>
    <x v="10"/>
    <x v="1"/>
    <x v="6"/>
    <x v="3"/>
  </r>
  <r>
    <n v="26"/>
    <x v="0"/>
    <x v="0"/>
    <x v="0"/>
    <x v="4"/>
    <x v="0"/>
  </r>
  <r>
    <n v="27"/>
    <x v="0"/>
    <x v="0"/>
    <x v="0"/>
    <x v="3"/>
    <x v="0"/>
  </r>
  <r>
    <n v="28"/>
    <x v="0"/>
    <x v="0"/>
    <x v="0"/>
    <x v="2"/>
    <x v="0"/>
  </r>
  <r>
    <n v="29"/>
    <x v="1"/>
    <x v="11"/>
    <x v="0"/>
    <x v="0"/>
    <x v="2"/>
  </r>
  <r>
    <n v="30"/>
    <x v="1"/>
    <x v="12"/>
    <x v="0"/>
    <x v="0"/>
    <x v="3"/>
  </r>
  <r>
    <n v="31"/>
    <x v="0"/>
    <x v="0"/>
    <x v="1"/>
    <x v="3"/>
    <x v="3"/>
  </r>
  <r>
    <n v="32"/>
    <x v="0"/>
    <x v="0"/>
    <x v="0"/>
    <x v="1"/>
    <x v="2"/>
  </r>
  <r>
    <n v="33"/>
    <x v="1"/>
    <x v="9"/>
    <x v="0"/>
    <x v="0"/>
    <x v="1"/>
  </r>
  <r>
    <n v="34"/>
    <x v="1"/>
    <x v="13"/>
    <x v="0"/>
    <x v="2"/>
    <x v="1"/>
  </r>
  <r>
    <n v="35"/>
    <x v="0"/>
    <x v="0"/>
    <x v="1"/>
    <x v="3"/>
    <x v="0"/>
  </r>
  <r>
    <n v="36"/>
    <x v="0"/>
    <x v="0"/>
    <x v="0"/>
    <x v="0"/>
    <x v="1"/>
  </r>
  <r>
    <n v="37"/>
    <x v="0"/>
    <x v="0"/>
    <x v="1"/>
    <x v="1"/>
    <x v="0"/>
  </r>
  <r>
    <n v="38"/>
    <x v="0"/>
    <x v="0"/>
    <x v="0"/>
    <x v="3"/>
    <x v="1"/>
  </r>
  <r>
    <n v="39"/>
    <x v="0"/>
    <x v="0"/>
    <x v="0"/>
    <x v="5"/>
    <x v="1"/>
  </r>
  <r>
    <n v="40"/>
    <x v="0"/>
    <x v="0"/>
    <x v="0"/>
    <x v="4"/>
    <x v="1"/>
  </r>
  <r>
    <n v="41"/>
    <x v="0"/>
    <x v="0"/>
    <x v="0"/>
    <x v="2"/>
    <x v="3"/>
  </r>
  <r>
    <n v="42"/>
    <x v="1"/>
    <x v="11"/>
    <x v="0"/>
    <x v="2"/>
    <x v="2"/>
  </r>
  <r>
    <n v="43"/>
    <x v="0"/>
    <x v="0"/>
    <x v="0"/>
    <x v="4"/>
    <x v="3"/>
  </r>
  <r>
    <n v="44"/>
    <x v="0"/>
    <x v="0"/>
    <x v="0"/>
    <x v="2"/>
    <x v="0"/>
  </r>
  <r>
    <n v="45"/>
    <x v="0"/>
    <x v="0"/>
    <x v="0"/>
    <x v="4"/>
    <x v="3"/>
  </r>
  <r>
    <n v="46"/>
    <x v="0"/>
    <x v="0"/>
    <x v="0"/>
    <x v="0"/>
    <x v="3"/>
  </r>
  <r>
    <n v="47"/>
    <x v="1"/>
    <x v="12"/>
    <x v="0"/>
    <x v="0"/>
    <x v="0"/>
  </r>
  <r>
    <n v="48"/>
    <x v="0"/>
    <x v="0"/>
    <x v="0"/>
    <x v="1"/>
    <x v="0"/>
  </r>
  <r>
    <n v="49"/>
    <x v="1"/>
    <x v="13"/>
    <x v="0"/>
    <x v="2"/>
    <x v="0"/>
  </r>
  <r>
    <n v="50"/>
    <x v="0"/>
    <x v="0"/>
    <x v="0"/>
    <x v="0"/>
    <x v="2"/>
  </r>
  <r>
    <n v="51"/>
    <x v="0"/>
    <x v="0"/>
    <x v="1"/>
    <x v="0"/>
    <x v="3"/>
  </r>
  <r>
    <n v="52"/>
    <x v="0"/>
    <x v="0"/>
    <x v="0"/>
    <x v="4"/>
    <x v="0"/>
  </r>
  <r>
    <n v="53"/>
    <x v="1"/>
    <x v="5"/>
    <x v="0"/>
    <x v="2"/>
    <x v="0"/>
  </r>
  <r>
    <n v="54"/>
    <x v="1"/>
    <x v="14"/>
    <x v="0"/>
    <x v="0"/>
    <x v="3"/>
  </r>
  <r>
    <n v="55"/>
    <x v="0"/>
    <x v="0"/>
    <x v="0"/>
    <x v="8"/>
    <x v="2"/>
  </r>
  <r>
    <n v="56"/>
    <x v="0"/>
    <x v="0"/>
    <x v="0"/>
    <x v="0"/>
    <x v="1"/>
  </r>
  <r>
    <n v="57"/>
    <x v="0"/>
    <x v="0"/>
    <x v="0"/>
    <x v="2"/>
    <x v="1"/>
  </r>
  <r>
    <n v="58"/>
    <x v="1"/>
    <x v="15"/>
    <x v="1"/>
    <x v="6"/>
    <x v="0"/>
  </r>
  <r>
    <n v="59"/>
    <x v="0"/>
    <x v="0"/>
    <x v="0"/>
    <x v="0"/>
    <x v="2"/>
  </r>
  <r>
    <n v="60"/>
    <x v="0"/>
    <x v="0"/>
    <x v="1"/>
    <x v="3"/>
    <x v="2"/>
  </r>
  <r>
    <n v="61"/>
    <x v="0"/>
    <x v="0"/>
    <x v="0"/>
    <x v="4"/>
    <x v="3"/>
  </r>
  <r>
    <n v="62"/>
    <x v="0"/>
    <x v="0"/>
    <x v="1"/>
    <x v="0"/>
    <x v="2"/>
  </r>
  <r>
    <n v="63"/>
    <x v="0"/>
    <x v="0"/>
    <x v="1"/>
    <x v="0"/>
    <x v="3"/>
  </r>
  <r>
    <n v="64"/>
    <x v="1"/>
    <x v="16"/>
    <x v="0"/>
    <x v="0"/>
    <x v="3"/>
  </r>
  <r>
    <n v="65"/>
    <x v="0"/>
    <x v="0"/>
    <x v="0"/>
    <x v="2"/>
    <x v="0"/>
  </r>
  <r>
    <n v="66"/>
    <x v="0"/>
    <x v="0"/>
    <x v="1"/>
    <x v="1"/>
    <x v="2"/>
  </r>
  <r>
    <n v="67"/>
    <x v="1"/>
    <x v="17"/>
    <x v="0"/>
    <x v="0"/>
    <x v="1"/>
  </r>
  <r>
    <n v="68"/>
    <x v="1"/>
    <x v="1"/>
    <x v="1"/>
    <x v="3"/>
    <x v="0"/>
  </r>
  <r>
    <n v="69"/>
    <x v="0"/>
    <x v="0"/>
    <x v="0"/>
    <x v="2"/>
    <x v="3"/>
  </r>
  <r>
    <n v="70"/>
    <x v="1"/>
    <x v="1"/>
    <x v="1"/>
    <x v="2"/>
    <x v="0"/>
  </r>
  <r>
    <n v="71"/>
    <x v="0"/>
    <x v="0"/>
    <x v="0"/>
    <x v="3"/>
    <x v="1"/>
  </r>
  <r>
    <n v="72"/>
    <x v="1"/>
    <x v="18"/>
    <x v="1"/>
    <x v="3"/>
    <x v="1"/>
  </r>
  <r>
    <n v="73"/>
    <x v="1"/>
    <x v="1"/>
    <x v="1"/>
    <x v="2"/>
    <x v="3"/>
  </r>
  <r>
    <n v="74"/>
    <x v="0"/>
    <x v="0"/>
    <x v="1"/>
    <x v="6"/>
    <x v="0"/>
  </r>
  <r>
    <n v="75"/>
    <x v="1"/>
    <x v="19"/>
    <x v="0"/>
    <x v="1"/>
    <x v="2"/>
  </r>
  <r>
    <n v="76"/>
    <x v="1"/>
    <x v="5"/>
    <x v="0"/>
    <x v="0"/>
    <x v="1"/>
  </r>
  <r>
    <n v="77"/>
    <x v="1"/>
    <x v="18"/>
    <x v="1"/>
    <x v="3"/>
    <x v="1"/>
  </r>
  <r>
    <n v="78"/>
    <x v="0"/>
    <x v="0"/>
    <x v="1"/>
    <x v="2"/>
    <x v="2"/>
  </r>
  <r>
    <n v="79"/>
    <x v="0"/>
    <x v="0"/>
    <x v="0"/>
    <x v="0"/>
    <x v="1"/>
  </r>
  <r>
    <n v="80"/>
    <x v="0"/>
    <x v="0"/>
    <x v="0"/>
    <x v="1"/>
    <x v="3"/>
  </r>
  <r>
    <n v="81"/>
    <x v="1"/>
    <x v="20"/>
    <x v="0"/>
    <x v="0"/>
    <x v="0"/>
  </r>
  <r>
    <n v="82"/>
    <x v="1"/>
    <x v="21"/>
    <x v="0"/>
    <x v="0"/>
    <x v="3"/>
  </r>
  <r>
    <n v="83"/>
    <x v="0"/>
    <x v="0"/>
    <x v="0"/>
    <x v="5"/>
    <x v="3"/>
  </r>
  <r>
    <n v="84"/>
    <x v="0"/>
    <x v="0"/>
    <x v="0"/>
    <x v="3"/>
    <x v="2"/>
  </r>
  <r>
    <n v="85"/>
    <x v="0"/>
    <x v="0"/>
    <x v="1"/>
    <x v="0"/>
    <x v="2"/>
  </r>
  <r>
    <n v="86"/>
    <x v="0"/>
    <x v="0"/>
    <x v="0"/>
    <x v="2"/>
    <x v="1"/>
  </r>
  <r>
    <n v="87"/>
    <x v="0"/>
    <x v="0"/>
    <x v="0"/>
    <x v="2"/>
    <x v="2"/>
  </r>
  <r>
    <n v="88"/>
    <x v="0"/>
    <x v="0"/>
    <x v="0"/>
    <x v="4"/>
    <x v="3"/>
  </r>
  <r>
    <n v="89"/>
    <x v="0"/>
    <x v="0"/>
    <x v="0"/>
    <x v="2"/>
    <x v="3"/>
  </r>
  <r>
    <n v="90"/>
    <x v="0"/>
    <x v="0"/>
    <x v="1"/>
    <x v="1"/>
    <x v="3"/>
  </r>
  <r>
    <n v="91"/>
    <x v="1"/>
    <x v="16"/>
    <x v="0"/>
    <x v="0"/>
    <x v="2"/>
  </r>
  <r>
    <n v="92"/>
    <x v="0"/>
    <x v="0"/>
    <x v="0"/>
    <x v="4"/>
    <x v="0"/>
  </r>
  <r>
    <n v="93"/>
    <x v="1"/>
    <x v="13"/>
    <x v="0"/>
    <x v="2"/>
    <x v="1"/>
  </r>
  <r>
    <n v="94"/>
    <x v="0"/>
    <x v="0"/>
    <x v="1"/>
    <x v="3"/>
    <x v="1"/>
  </r>
  <r>
    <n v="95"/>
    <x v="0"/>
    <x v="0"/>
    <x v="0"/>
    <x v="4"/>
    <x v="2"/>
  </r>
  <r>
    <n v="96"/>
    <x v="0"/>
    <x v="0"/>
    <x v="0"/>
    <x v="1"/>
    <x v="0"/>
  </r>
  <r>
    <n v="97"/>
    <x v="1"/>
    <x v="21"/>
    <x v="0"/>
    <x v="0"/>
    <x v="2"/>
  </r>
  <r>
    <n v="98"/>
    <x v="0"/>
    <x v="0"/>
    <x v="0"/>
    <x v="0"/>
    <x v="3"/>
  </r>
  <r>
    <n v="99"/>
    <x v="0"/>
    <x v="0"/>
    <x v="1"/>
    <x v="4"/>
    <x v="0"/>
  </r>
  <r>
    <n v="100"/>
    <x v="0"/>
    <x v="0"/>
    <x v="0"/>
    <x v="4"/>
    <x v="0"/>
  </r>
  <r>
    <n v="101"/>
    <x v="0"/>
    <x v="0"/>
    <x v="0"/>
    <x v="0"/>
    <x v="3"/>
  </r>
  <r>
    <n v="102"/>
    <x v="0"/>
    <x v="0"/>
    <x v="1"/>
    <x v="4"/>
    <x v="3"/>
  </r>
  <r>
    <n v="103"/>
    <x v="1"/>
    <x v="12"/>
    <x v="0"/>
    <x v="0"/>
    <x v="3"/>
  </r>
  <r>
    <n v="104"/>
    <x v="0"/>
    <x v="0"/>
    <x v="0"/>
    <x v="0"/>
    <x v="3"/>
  </r>
  <r>
    <n v="105"/>
    <x v="1"/>
    <x v="6"/>
    <x v="0"/>
    <x v="1"/>
    <x v="3"/>
  </r>
  <r>
    <n v="106"/>
    <x v="0"/>
    <x v="0"/>
    <x v="0"/>
    <x v="4"/>
    <x v="0"/>
  </r>
  <r>
    <n v="107"/>
    <x v="0"/>
    <x v="0"/>
    <x v="0"/>
    <x v="4"/>
    <x v="3"/>
  </r>
  <r>
    <n v="108"/>
    <x v="0"/>
    <x v="0"/>
    <x v="0"/>
    <x v="2"/>
    <x v="2"/>
  </r>
  <r>
    <n v="109"/>
    <x v="0"/>
    <x v="0"/>
    <x v="0"/>
    <x v="6"/>
    <x v="2"/>
  </r>
  <r>
    <n v="110"/>
    <x v="0"/>
    <x v="0"/>
    <x v="0"/>
    <x v="5"/>
    <x v="2"/>
  </r>
  <r>
    <n v="111"/>
    <x v="0"/>
    <x v="0"/>
    <x v="0"/>
    <x v="0"/>
    <x v="0"/>
  </r>
  <r>
    <n v="112"/>
    <x v="0"/>
    <x v="0"/>
    <x v="0"/>
    <x v="4"/>
    <x v="3"/>
  </r>
  <r>
    <n v="113"/>
    <x v="1"/>
    <x v="8"/>
    <x v="0"/>
    <x v="0"/>
    <x v="2"/>
  </r>
  <r>
    <n v="114"/>
    <x v="0"/>
    <x v="0"/>
    <x v="1"/>
    <x v="3"/>
    <x v="0"/>
  </r>
  <r>
    <n v="115"/>
    <x v="0"/>
    <x v="0"/>
    <x v="1"/>
    <x v="0"/>
    <x v="1"/>
  </r>
  <r>
    <n v="116"/>
    <x v="0"/>
    <x v="0"/>
    <x v="0"/>
    <x v="3"/>
    <x v="0"/>
  </r>
  <r>
    <n v="117"/>
    <x v="0"/>
    <x v="0"/>
    <x v="0"/>
    <x v="0"/>
    <x v="1"/>
  </r>
  <r>
    <n v="118"/>
    <x v="0"/>
    <x v="0"/>
    <x v="0"/>
    <x v="0"/>
    <x v="0"/>
  </r>
  <r>
    <n v="119"/>
    <x v="0"/>
    <x v="0"/>
    <x v="0"/>
    <x v="4"/>
    <x v="3"/>
  </r>
  <r>
    <n v="120"/>
    <x v="1"/>
    <x v="22"/>
    <x v="1"/>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56852F-5C59-4A27-883B-1CF633FAA8AB}" name="Tabela dinâmica9"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6" rowHeaderCaption="Faixa etária" colHeaderCaption="Sexo">
  <location ref="Z4:AC13" firstHeaderRow="1" firstDataRow="2" firstDataCol="1" rowPageCount="1" colPageCount="1"/>
  <pivotFields count="6">
    <pivotField showAll="0"/>
    <pivotField axis="axisPage" dataField="1" multipleItemSelectionAllowed="1" showAll="0">
      <items count="3">
        <item h="1" x="0"/>
        <item x="1"/>
        <item t="default"/>
      </items>
    </pivotField>
    <pivotField showAll="0"/>
    <pivotField axis="axisCol" showAll="0">
      <items count="3">
        <item x="1"/>
        <item x="0"/>
        <item t="default"/>
      </items>
    </pivotField>
    <pivotField axis="axisRow" showAll="0">
      <items count="10">
        <item x="8"/>
        <item x="6"/>
        <item x="3"/>
        <item x="2"/>
        <item x="0"/>
        <item x="4"/>
        <item x="1"/>
        <item x="5"/>
        <item x="7"/>
        <item t="default"/>
      </items>
    </pivotField>
    <pivotField showAll="0"/>
  </pivotFields>
  <rowFields count="1">
    <field x="4"/>
  </rowFields>
  <rowItems count="8">
    <i>
      <x v="1"/>
    </i>
    <i>
      <x v="2"/>
    </i>
    <i>
      <x v="3"/>
    </i>
    <i>
      <x v="4"/>
    </i>
    <i>
      <x v="6"/>
    </i>
    <i>
      <x v="7"/>
    </i>
    <i>
      <x v="8"/>
    </i>
    <i t="grand">
      <x/>
    </i>
  </rowItems>
  <colFields count="1">
    <field x="3"/>
  </colFields>
  <colItems count="3">
    <i>
      <x/>
    </i>
    <i>
      <x v="1"/>
    </i>
    <i t="grand">
      <x/>
    </i>
  </colItems>
  <pageFields count="1">
    <pageField fld="1" hier="-1"/>
  </pageFields>
  <dataFields count="1">
    <dataField name="Freq Abs" fld="1" subtotal="count" baseField="0" baseItem="0"/>
  </dataField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71440-3655-47AE-B790-C727AAB0AC8B}" name="Tabela dinâmica1"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7" rowHeaderCaption="Interesse no Curso">
  <location ref="A3:C6" firstHeaderRow="0" firstDataRow="1" firstDataCol="1"/>
  <pivotFields count="6">
    <pivotField showAll="0"/>
    <pivotField axis="axisRow" dataField="1" showAll="0">
      <items count="3">
        <item x="0"/>
        <item x="1"/>
        <item t="default"/>
      </items>
    </pivotField>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Freq Abs" fld="1" subtotal="count" baseField="0" baseItem="0"/>
    <dataField name="Freq Rel" fld="1" subtotal="count" showDataAs="percentOfCol" baseField="0" baseItem="0" numFmtId="10"/>
  </dataFields>
  <chartFormats count="6">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1" count="1" selected="0">
            <x v="0"/>
          </reference>
        </references>
      </pivotArea>
    </chartFormat>
    <chartFormat chart="6" format="13">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F3C696-097D-43AF-97F3-6DB886413370}" name="Tabela dinâmica10"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rowHeaderCaption="Valor que Pagaria">
  <location ref="O27:R35" firstHeaderRow="0" firstDataRow="1" firstDataCol="1" rowPageCount="2" colPageCount="1"/>
  <pivotFields count="6">
    <pivotField showAll="0"/>
    <pivotField axis="axisPage" dataField="1" multipleItemSelectionAllowed="1" showAll="0">
      <items count="3">
        <item h="1" x="0"/>
        <item x="1"/>
        <item t="default"/>
      </items>
    </pivotField>
    <pivotField axis="axisRow" showAll="0">
      <items count="24">
        <item x="0"/>
        <item x="22"/>
        <item x="4"/>
        <item x="10"/>
        <item x="15"/>
        <item x="18"/>
        <item x="1"/>
        <item x="3"/>
        <item x="8"/>
        <item x="5"/>
        <item x="13"/>
        <item x="11"/>
        <item x="21"/>
        <item x="12"/>
        <item x="17"/>
        <item x="20"/>
        <item x="16"/>
        <item x="14"/>
        <item x="9"/>
        <item x="19"/>
        <item x="6"/>
        <item x="7"/>
        <item x="2"/>
        <item t="default"/>
      </items>
    </pivotField>
    <pivotField axis="axisPage" showAll="0">
      <items count="3">
        <item x="1"/>
        <item x="0"/>
        <item t="default"/>
      </items>
    </pivotField>
    <pivotField showAll="0"/>
    <pivotField showAll="0"/>
  </pivotFields>
  <rowFields count="1">
    <field x="2"/>
  </rowFields>
  <rowItems count="8">
    <i>
      <x v="1"/>
    </i>
    <i>
      <x v="2"/>
    </i>
    <i>
      <x v="3"/>
    </i>
    <i>
      <x v="4"/>
    </i>
    <i>
      <x v="5"/>
    </i>
    <i>
      <x v="6"/>
    </i>
    <i>
      <x v="7"/>
    </i>
    <i t="grand">
      <x/>
    </i>
  </rowItems>
  <colFields count="1">
    <field x="-2"/>
  </colFields>
  <colItems count="3">
    <i>
      <x/>
    </i>
    <i i="1">
      <x v="1"/>
    </i>
    <i i="2">
      <x v="2"/>
    </i>
  </colItems>
  <pageFields count="2">
    <pageField fld="1" hier="-1"/>
    <pageField fld="3" item="0" hier="-1"/>
  </pageFields>
  <dataFields count="3">
    <dataField name="Freq Abs" fld="1" subtotal="count" baseField="0" baseItem="0"/>
    <dataField name="Freq Rel" fld="1" subtotal="count" showDataAs="percentOfCol" baseField="0" baseItem="0" numFmtId="10"/>
    <dataField name="Freq Acum" fld="1" subtotal="count" baseField="2" baseItem="0" numFmtId="10">
      <extLst>
        <ext xmlns:x14="http://schemas.microsoft.com/office/spreadsheetml/2009/9/main" uri="{E15A36E0-9728-4e99-A89B-3F7291B0FE68}">
          <x14:dataField pivotShowAs="percentOfRunningTotal"/>
        </ext>
      </extLst>
    </dataField>
  </dataFields>
  <formats count="11">
    <format dxfId="14">
      <pivotArea collapsedLevelsAreSubtotals="1" fieldPosition="0">
        <references count="1">
          <reference field="2" count="1">
            <x v="10"/>
          </reference>
        </references>
      </pivotArea>
    </format>
    <format dxfId="13">
      <pivotArea dataOnly="0" labelOnly="1" fieldPosition="0">
        <references count="1">
          <reference field="2" count="1">
            <x v="10"/>
          </reference>
        </references>
      </pivotArea>
    </format>
    <format dxfId="12">
      <pivotArea collapsedLevelsAreSubtotals="1" fieldPosition="0">
        <references count="1">
          <reference field="2" count="1">
            <x v="17"/>
          </reference>
        </references>
      </pivotArea>
    </format>
    <format dxfId="11">
      <pivotArea dataOnly="0" labelOnly="1" fieldPosition="0">
        <references count="1">
          <reference field="2" count="1">
            <x v="17"/>
          </reference>
        </references>
      </pivotArea>
    </format>
    <format dxfId="10">
      <pivotArea collapsedLevelsAreSubtotals="1" fieldPosition="0">
        <references count="2">
          <reference field="4294967294" count="1" selected="0">
            <x v="1"/>
          </reference>
          <reference field="2" count="17">
            <x v="6"/>
            <x v="7"/>
            <x v="8"/>
            <x v="9"/>
            <x v="10"/>
            <x v="11"/>
            <x v="12"/>
            <x v="13"/>
            <x v="14"/>
            <x v="15"/>
            <x v="16"/>
            <x v="17"/>
            <x v="18"/>
            <x v="19"/>
            <x v="20"/>
            <x v="21"/>
            <x v="22"/>
          </reference>
        </references>
      </pivotArea>
    </format>
    <format dxfId="9">
      <pivotArea collapsedLevelsAreSubtotals="1" fieldPosition="0">
        <references count="2">
          <reference field="4294967294" count="1" selected="0">
            <x v="0"/>
          </reference>
          <reference field="2" count="17">
            <x v="6"/>
            <x v="7"/>
            <x v="8"/>
            <x v="9"/>
            <x v="10"/>
            <x v="11"/>
            <x v="12"/>
            <x v="13"/>
            <x v="14"/>
            <x v="15"/>
            <x v="16"/>
            <x v="17"/>
            <x v="18"/>
            <x v="19"/>
            <x v="20"/>
            <x v="21"/>
            <x v="22"/>
          </reference>
        </references>
      </pivotArea>
    </format>
    <format dxfId="8">
      <pivotArea dataOnly="0" labelOnly="1" fieldPosition="0">
        <references count="1">
          <reference field="2" count="1">
            <x v="10"/>
          </reference>
        </references>
      </pivotArea>
    </format>
    <format dxfId="7">
      <pivotArea dataOnly="0" labelOnly="1" fieldPosition="0">
        <references count="1">
          <reference field="2" count="1">
            <x v="17"/>
          </reference>
        </references>
      </pivotArea>
    </format>
    <format dxfId="6">
      <pivotArea collapsedLevelsAreSubtotals="1" fieldPosition="0">
        <references count="2">
          <reference field="4294967294" count="2" selected="0">
            <x v="0"/>
            <x v="1"/>
          </reference>
          <reference field="2" count="2">
            <x v="6"/>
            <x v="7"/>
          </reference>
        </references>
      </pivotArea>
    </format>
    <format dxfId="5">
      <pivotArea collapsedLevelsAreSubtotals="1" fieldPosition="0">
        <references count="2">
          <reference field="4294967294" count="1" selected="0">
            <x v="1"/>
          </reference>
          <reference field="2" count="3">
            <x v="5"/>
            <x v="6"/>
            <x v="7"/>
          </reference>
        </references>
      </pivotArea>
    </format>
    <format dxfId="4">
      <pivotArea collapsedLevelsAreSubtotals="1" fieldPosition="0">
        <references count="2">
          <reference field="4294967294" count="1" selected="0">
            <x v="0"/>
          </reference>
          <reference field="2" count="3">
            <x v="5"/>
            <x v="6"/>
            <x v="7"/>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E0950C-A034-4FED-AB7F-7024C4EB9E8A}" name="Tabela dinâmica5"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rowHeaderCaption="Sexo" colHeaderCaption="Interesse no Curso">
  <location ref="J11:L14" firstHeaderRow="0" firstDataRow="1" firstDataCol="1" rowPageCount="1" colPageCount="1"/>
  <pivotFields count="6">
    <pivotField showAll="0"/>
    <pivotField axis="axisPage" dataField="1" showAll="0">
      <items count="3">
        <item x="0"/>
        <item x="1"/>
        <item t="default"/>
      </items>
    </pivotField>
    <pivotField showAll="0"/>
    <pivotField axis="axisRow" showAll="0">
      <items count="3">
        <item x="1"/>
        <item x="0"/>
        <item t="default"/>
      </items>
    </pivotField>
    <pivotField showAll="0"/>
    <pivotField showAll="0"/>
  </pivotFields>
  <rowFields count="1">
    <field x="3"/>
  </rowFields>
  <rowItems count="3">
    <i>
      <x/>
    </i>
    <i>
      <x v="1"/>
    </i>
    <i t="grand">
      <x/>
    </i>
  </rowItems>
  <colFields count="1">
    <field x="-2"/>
  </colFields>
  <colItems count="2">
    <i>
      <x/>
    </i>
    <i i="1">
      <x v="1"/>
    </i>
  </colItems>
  <pageFields count="1">
    <pageField fld="1" item="0" hier="-1"/>
  </pageFields>
  <dataFields count="2">
    <dataField name="Freq Abs" fld="1" subtotal="count" baseField="0" baseItem="0"/>
    <dataField name="Freq Rel" fld="1"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F5DEDC-708B-4C9F-9D6F-7515164CFD56}" name="Tabela dinâmica7"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rowHeaderCaption="Valor que Pagaria">
  <location ref="O4:R12" firstHeaderRow="0" firstDataRow="1" firstDataCol="1" rowPageCount="2" colPageCount="1"/>
  <pivotFields count="6">
    <pivotField showAll="0"/>
    <pivotField axis="axisPage" dataField="1" multipleItemSelectionAllowed="1" showAll="0">
      <items count="3">
        <item h="1" x="0"/>
        <item x="1"/>
        <item t="default"/>
      </items>
    </pivotField>
    <pivotField axis="axisRow" showAll="0">
      <items count="24">
        <item x="0"/>
        <item x="22"/>
        <item x="4"/>
        <item x="10"/>
        <item x="15"/>
        <item x="18"/>
        <item x="1"/>
        <item x="3"/>
        <item x="8"/>
        <item x="5"/>
        <item x="13"/>
        <item x="11"/>
        <item x="21"/>
        <item x="12"/>
        <item x="17"/>
        <item x="20"/>
        <item x="16"/>
        <item x="14"/>
        <item x="9"/>
        <item x="19"/>
        <item x="6"/>
        <item x="7"/>
        <item x="2"/>
        <item t="default"/>
      </items>
    </pivotField>
    <pivotField axis="axisPage" showAll="0">
      <items count="3">
        <item x="1"/>
        <item x="0"/>
        <item t="default"/>
      </items>
    </pivotField>
    <pivotField showAll="0"/>
    <pivotField showAll="0"/>
  </pivotFields>
  <rowFields count="1">
    <field x="2"/>
  </rowFields>
  <rowItems count="8">
    <i>
      <x v="1"/>
    </i>
    <i>
      <x v="2"/>
    </i>
    <i>
      <x v="3"/>
    </i>
    <i>
      <x v="4"/>
    </i>
    <i>
      <x v="5"/>
    </i>
    <i>
      <x v="6"/>
    </i>
    <i>
      <x v="7"/>
    </i>
    <i t="grand">
      <x/>
    </i>
  </rowItems>
  <colFields count="1">
    <field x="-2"/>
  </colFields>
  <colItems count="3">
    <i>
      <x/>
    </i>
    <i i="1">
      <x v="1"/>
    </i>
    <i i="2">
      <x v="2"/>
    </i>
  </colItems>
  <pageFields count="2">
    <pageField fld="1" hier="-1"/>
    <pageField fld="3" item="0" hier="-1"/>
  </pageFields>
  <dataFields count="3">
    <dataField name="Freq Abs" fld="1" subtotal="count" baseField="0" baseItem="0"/>
    <dataField name="Freq Rel" fld="1" subtotal="count" showDataAs="percentOfCol" baseField="0" baseItem="0" numFmtId="10"/>
    <dataField name="Freq Acum" fld="1" subtotal="count" baseField="2" baseItem="0" numFmtId="10">
      <extLst>
        <ext xmlns:x14="http://schemas.microsoft.com/office/spreadsheetml/2009/9/main" uri="{E15A36E0-9728-4e99-A89B-3F7291B0FE68}">
          <x14:dataField pivotShowAs="percentOfRunningTotal"/>
        </ext>
      </extLst>
    </dataField>
  </dataFields>
  <formats count="11">
    <format dxfId="25">
      <pivotArea collapsedLevelsAreSubtotals="1" fieldPosition="0">
        <references count="1">
          <reference field="2" count="1">
            <x v="10"/>
          </reference>
        </references>
      </pivotArea>
    </format>
    <format dxfId="24">
      <pivotArea dataOnly="0" labelOnly="1" fieldPosition="0">
        <references count="1">
          <reference field="2" count="1">
            <x v="10"/>
          </reference>
        </references>
      </pivotArea>
    </format>
    <format dxfId="23">
      <pivotArea collapsedLevelsAreSubtotals="1" fieldPosition="0">
        <references count="1">
          <reference field="2" count="1">
            <x v="17"/>
          </reference>
        </references>
      </pivotArea>
    </format>
    <format dxfId="22">
      <pivotArea dataOnly="0" labelOnly="1" fieldPosition="0">
        <references count="1">
          <reference field="2" count="1">
            <x v="17"/>
          </reference>
        </references>
      </pivotArea>
    </format>
    <format dxfId="21">
      <pivotArea collapsedLevelsAreSubtotals="1" fieldPosition="0">
        <references count="2">
          <reference field="4294967294" count="1" selected="0">
            <x v="1"/>
          </reference>
          <reference field="2" count="17">
            <x v="6"/>
            <x v="7"/>
            <x v="8"/>
            <x v="9"/>
            <x v="10"/>
            <x v="11"/>
            <x v="12"/>
            <x v="13"/>
            <x v="14"/>
            <x v="15"/>
            <x v="16"/>
            <x v="17"/>
            <x v="18"/>
            <x v="19"/>
            <x v="20"/>
            <x v="21"/>
            <x v="22"/>
          </reference>
        </references>
      </pivotArea>
    </format>
    <format dxfId="20">
      <pivotArea collapsedLevelsAreSubtotals="1" fieldPosition="0">
        <references count="2">
          <reference field="4294967294" count="1" selected="0">
            <x v="0"/>
          </reference>
          <reference field="2" count="17">
            <x v="6"/>
            <x v="7"/>
            <x v="8"/>
            <x v="9"/>
            <x v="10"/>
            <x v="11"/>
            <x v="12"/>
            <x v="13"/>
            <x v="14"/>
            <x v="15"/>
            <x v="16"/>
            <x v="17"/>
            <x v="18"/>
            <x v="19"/>
            <x v="20"/>
            <x v="21"/>
            <x v="22"/>
          </reference>
        </references>
      </pivotArea>
    </format>
    <format dxfId="19">
      <pivotArea dataOnly="0" labelOnly="1" fieldPosition="0">
        <references count="1">
          <reference field="2" count="1">
            <x v="10"/>
          </reference>
        </references>
      </pivotArea>
    </format>
    <format dxfId="18">
      <pivotArea dataOnly="0" labelOnly="1" fieldPosition="0">
        <references count="1">
          <reference field="2" count="1">
            <x v="17"/>
          </reference>
        </references>
      </pivotArea>
    </format>
    <format dxfId="17">
      <pivotArea collapsedLevelsAreSubtotals="1" fieldPosition="0">
        <references count="2">
          <reference field="4294967294" count="2" selected="0">
            <x v="0"/>
            <x v="1"/>
          </reference>
          <reference field="2" count="2">
            <x v="6"/>
            <x v="7"/>
          </reference>
        </references>
      </pivotArea>
    </format>
    <format dxfId="16">
      <pivotArea collapsedLevelsAreSubtotals="1" fieldPosition="0">
        <references count="2">
          <reference field="4294967294" count="1" selected="0">
            <x v="1"/>
          </reference>
          <reference field="2" count="3">
            <x v="5"/>
            <x v="6"/>
            <x v="7"/>
          </reference>
        </references>
      </pivotArea>
    </format>
    <format dxfId="15">
      <pivotArea collapsedLevelsAreSubtotals="1" fieldPosition="0">
        <references count="2">
          <reference field="4294967294" count="1" selected="0">
            <x v="0"/>
          </reference>
          <reference field="2" count="3">
            <x v="5"/>
            <x v="6"/>
            <x v="7"/>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119720-EDA2-42CC-863D-389CD8BF9DED}" name="Tabela dinâmica2"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rowHeaderCaption="Valor que Pagaria">
  <location ref="E3:H26" firstHeaderRow="0" firstDataRow="1" firstDataCol="1" rowPageCount="1" colPageCount="1"/>
  <pivotFields count="6">
    <pivotField showAll="0"/>
    <pivotField axis="axisPage" dataField="1" multipleItemSelectionAllowed="1" showAll="0">
      <items count="3">
        <item h="1" x="0"/>
        <item x="1"/>
        <item t="default"/>
      </items>
    </pivotField>
    <pivotField axis="axisRow" showAll="0">
      <items count="24">
        <item x="0"/>
        <item x="22"/>
        <item x="4"/>
        <item x="10"/>
        <item x="15"/>
        <item x="18"/>
        <item x="1"/>
        <item x="3"/>
        <item x="8"/>
        <item x="5"/>
        <item x="13"/>
        <item x="11"/>
        <item x="21"/>
        <item x="12"/>
        <item x="17"/>
        <item x="20"/>
        <item x="16"/>
        <item x="14"/>
        <item x="9"/>
        <item x="19"/>
        <item x="6"/>
        <item x="7"/>
        <item x="2"/>
        <item t="default"/>
      </items>
    </pivotField>
    <pivotField showAll="0"/>
    <pivotField showAll="0"/>
    <pivotField showAll="0"/>
  </pivotFields>
  <rowFields count="1">
    <field x="2"/>
  </rowFields>
  <rowItems count="23">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pageFields count="1">
    <pageField fld="1" hier="-1"/>
  </pageFields>
  <dataFields count="3">
    <dataField name="Freq Abs" fld="1" subtotal="count" baseField="0" baseItem="0"/>
    <dataField name="Freq Rel" fld="1" subtotal="count" showDataAs="percentOfCol" baseField="0" baseItem="0" numFmtId="10"/>
    <dataField name="Freq Acum" fld="1" subtotal="count" baseField="2" baseItem="0" numFmtId="10">
      <extLst>
        <ext xmlns:x14="http://schemas.microsoft.com/office/spreadsheetml/2009/9/main" uri="{E15A36E0-9728-4e99-A89B-3F7291B0FE68}">
          <x14:dataField pivotShowAs="percentOfRunningTotal"/>
        </ext>
      </extLst>
    </dataField>
  </dataFields>
  <formats count="8">
    <format dxfId="33">
      <pivotArea collapsedLevelsAreSubtotals="1" fieldPosition="0">
        <references count="1">
          <reference field="2" count="1">
            <x v="10"/>
          </reference>
        </references>
      </pivotArea>
    </format>
    <format dxfId="32">
      <pivotArea dataOnly="0" labelOnly="1" fieldPosition="0">
        <references count="1">
          <reference field="2" count="1">
            <x v="10"/>
          </reference>
        </references>
      </pivotArea>
    </format>
    <format dxfId="31">
      <pivotArea collapsedLevelsAreSubtotals="1" fieldPosition="0">
        <references count="1">
          <reference field="2" count="1">
            <x v="17"/>
          </reference>
        </references>
      </pivotArea>
    </format>
    <format dxfId="30">
      <pivotArea dataOnly="0" labelOnly="1" fieldPosition="0">
        <references count="1">
          <reference field="2" count="1">
            <x v="17"/>
          </reference>
        </references>
      </pivotArea>
    </format>
    <format dxfId="29">
      <pivotArea collapsedLevelsAreSubtotals="1" fieldPosition="0">
        <references count="2">
          <reference field="4294967294" count="1" selected="0">
            <x v="1"/>
          </reference>
          <reference field="2" count="17">
            <x v="6"/>
            <x v="7"/>
            <x v="8"/>
            <x v="9"/>
            <x v="10"/>
            <x v="11"/>
            <x v="12"/>
            <x v="13"/>
            <x v="14"/>
            <x v="15"/>
            <x v="16"/>
            <x v="17"/>
            <x v="18"/>
            <x v="19"/>
            <x v="20"/>
            <x v="21"/>
            <x v="22"/>
          </reference>
        </references>
      </pivotArea>
    </format>
    <format dxfId="28">
      <pivotArea collapsedLevelsAreSubtotals="1" fieldPosition="0">
        <references count="2">
          <reference field="4294967294" count="1" selected="0">
            <x v="0"/>
          </reference>
          <reference field="2" count="17">
            <x v="6"/>
            <x v="7"/>
            <x v="8"/>
            <x v="9"/>
            <x v="10"/>
            <x v="11"/>
            <x v="12"/>
            <x v="13"/>
            <x v="14"/>
            <x v="15"/>
            <x v="16"/>
            <x v="17"/>
            <x v="18"/>
            <x v="19"/>
            <x v="20"/>
            <x v="21"/>
            <x v="22"/>
          </reference>
        </references>
      </pivotArea>
    </format>
    <format dxfId="27">
      <pivotArea dataOnly="0" labelOnly="1" fieldPosition="0">
        <references count="1">
          <reference field="2" count="1">
            <x v="10"/>
          </reference>
        </references>
      </pivotArea>
    </format>
    <format dxfId="26">
      <pivotArea dataOnly="0" labelOnly="1" fieldPosition="0">
        <references count="1">
          <reference field="2" count="1">
            <x v="17"/>
          </reference>
        </references>
      </pivotArea>
    </format>
  </formats>
  <chartFormats count="5">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2"/>
          </reference>
          <reference field="2" count="1" selected="0">
            <x v="10"/>
          </reference>
        </references>
      </pivotArea>
    </chartFormat>
    <chartFormat chart="3" format="10">
      <pivotArea type="data" outline="0" fieldPosition="0">
        <references count="2">
          <reference field="4294967294" count="1" selected="0">
            <x v="2"/>
          </reference>
          <reference field="2"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986565-D27E-48BE-A9C2-76D86A36B2A0}" name="Tabela dinâmica6"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rowHeaderCaption="Sexo" colHeaderCaption="Interesse no Curso">
  <location ref="J19:L22" firstHeaderRow="0" firstDataRow="1" firstDataCol="1" rowPageCount="1" colPageCount="1"/>
  <pivotFields count="6">
    <pivotField showAll="0"/>
    <pivotField axis="axisPage" dataField="1" showAll="0">
      <items count="3">
        <item x="0"/>
        <item x="1"/>
        <item t="default"/>
      </items>
    </pivotField>
    <pivotField showAll="0"/>
    <pivotField axis="axisRow" showAll="0">
      <items count="3">
        <item x="1"/>
        <item x="0"/>
        <item t="default"/>
      </items>
    </pivotField>
    <pivotField showAll="0"/>
    <pivotField showAll="0"/>
  </pivotFields>
  <rowFields count="1">
    <field x="3"/>
  </rowFields>
  <rowItems count="3">
    <i>
      <x/>
    </i>
    <i>
      <x v="1"/>
    </i>
    <i t="grand">
      <x/>
    </i>
  </rowItems>
  <colFields count="1">
    <field x="-2"/>
  </colFields>
  <colItems count="2">
    <i>
      <x/>
    </i>
    <i i="1">
      <x v="1"/>
    </i>
  </colItems>
  <pageFields count="1">
    <pageField fld="1" hier="-1"/>
  </pageFields>
  <dataFields count="2">
    <dataField name="Freq Abs" fld="1" subtotal="count" baseField="0" baseItem="0"/>
    <dataField name="Freq Rel" fld="1"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FC2D3B-0BBE-453F-B96B-9D8576E4A3EB}" name="Tabela dinâmica4"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rowHeaderCaption="Sexo" colHeaderCaption="Interesse no Curso">
  <location ref="J3:L6" firstHeaderRow="0" firstDataRow="1" firstDataCol="1" rowPageCount="1" colPageCount="1"/>
  <pivotFields count="6">
    <pivotField showAll="0"/>
    <pivotField axis="axisPage" dataField="1" showAll="0">
      <items count="3">
        <item x="0"/>
        <item x="1"/>
        <item t="default"/>
      </items>
    </pivotField>
    <pivotField showAll="0"/>
    <pivotField axis="axisRow" showAll="0">
      <items count="3">
        <item x="1"/>
        <item x="0"/>
        <item t="default"/>
      </items>
    </pivotField>
    <pivotField showAll="0"/>
    <pivotField showAll="0"/>
  </pivotFields>
  <rowFields count="1">
    <field x="3"/>
  </rowFields>
  <rowItems count="3">
    <i>
      <x/>
    </i>
    <i>
      <x v="1"/>
    </i>
    <i t="grand">
      <x/>
    </i>
  </rowItems>
  <colFields count="1">
    <field x="-2"/>
  </colFields>
  <colItems count="2">
    <i>
      <x/>
    </i>
    <i i="1">
      <x v="1"/>
    </i>
  </colItems>
  <pageFields count="1">
    <pageField fld="1" item="1" hier="-1"/>
  </pageFields>
  <dataFields count="2">
    <dataField name="Freq Abs" fld="1" subtotal="count" baseField="0" baseItem="0"/>
    <dataField name="Freq Rel" fld="1"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4E06A7-0F9D-4F98-B25E-4DD184F79570}" name="Tabela dinâmica13"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rowHeaderCaption="Escolaridade" colHeaderCaption="Interesse">
  <location ref="E34:H40" firstHeaderRow="1" firstDataRow="2" firstDataCol="1"/>
  <pivotFields count="6">
    <pivotField showAll="0"/>
    <pivotField axis="axisCol" dataField="1" showAll="0">
      <items count="3">
        <item x="1"/>
        <item x="0"/>
        <item t="default"/>
      </items>
    </pivotField>
    <pivotField showAll="0"/>
    <pivotField showAll="0"/>
    <pivotField showAll="0"/>
    <pivotField axis="axisRow" showAll="0">
      <items count="5">
        <item x="0"/>
        <item x="1"/>
        <item x="2"/>
        <item x="3"/>
        <item t="default"/>
      </items>
    </pivotField>
  </pivotFields>
  <rowFields count="1">
    <field x="5"/>
  </rowFields>
  <rowItems count="5">
    <i>
      <x/>
    </i>
    <i>
      <x v="1"/>
    </i>
    <i>
      <x v="2"/>
    </i>
    <i>
      <x v="3"/>
    </i>
    <i t="grand">
      <x/>
    </i>
  </rowItems>
  <colFields count="1">
    <field x="1"/>
  </colFields>
  <colItems count="3">
    <i>
      <x/>
    </i>
    <i>
      <x v="1"/>
    </i>
    <i t="grand">
      <x/>
    </i>
  </colItems>
  <dataFields count="1">
    <dataField name="Interesse x Escolaridade" fld="1"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EAA536-D193-49B2-883E-9CC27F3583CE}" name="Tabela dinâmica8"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rowHeaderCaption="Faixa etária">
  <location ref="U4:V14" firstHeaderRow="1" firstDataRow="1" firstDataCol="1" rowPageCount="1" colPageCount="1"/>
  <pivotFields count="6">
    <pivotField showAll="0"/>
    <pivotField axis="axisPage" dataField="1" multipleItemSelectionAllowed="1" showAll="0">
      <items count="3">
        <item x="0"/>
        <item x="1"/>
        <item t="default"/>
      </items>
    </pivotField>
    <pivotField showAll="0"/>
    <pivotField showAll="0"/>
    <pivotField axis="axisRow" showAll="0">
      <items count="10">
        <item x="8"/>
        <item x="6"/>
        <item x="3"/>
        <item x="2"/>
        <item x="0"/>
        <item x="4"/>
        <item x="1"/>
        <item x="5"/>
        <item x="7"/>
        <item t="default"/>
      </items>
    </pivotField>
    <pivotField showAll="0"/>
  </pivotFields>
  <rowFields count="1">
    <field x="4"/>
  </rowFields>
  <rowItems count="10">
    <i>
      <x/>
    </i>
    <i>
      <x v="1"/>
    </i>
    <i>
      <x v="2"/>
    </i>
    <i>
      <x v="3"/>
    </i>
    <i>
      <x v="4"/>
    </i>
    <i>
      <x v="5"/>
    </i>
    <i>
      <x v="6"/>
    </i>
    <i>
      <x v="7"/>
    </i>
    <i>
      <x v="8"/>
    </i>
    <i t="grand">
      <x/>
    </i>
  </rowItems>
  <colItems count="1">
    <i/>
  </colItems>
  <pageFields count="1">
    <pageField fld="1" hier="-1"/>
  </pageFields>
  <dataFields count="1">
    <dataField name="Freq Rel" fld="1" subtotal="count" showDataAs="percentOfCol"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B1E12E-31EC-43C4-B0FB-034BF1F6BAC9}" name="Tabela dinâmica25"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R5:T10" firstHeaderRow="0" firstDataRow="1" firstDataCol="1" rowPageCount="2" colPageCount="1"/>
  <pivotFields count="7">
    <pivotField showAll="0"/>
    <pivotField axis="axisPage" showAll="0">
      <items count="3">
        <item x="0"/>
        <item x="1"/>
        <item t="default"/>
      </items>
    </pivotField>
    <pivotField showAll="0"/>
    <pivotField axis="axisPage" showAll="0">
      <items count="3">
        <item x="1"/>
        <item x="0"/>
        <item t="default"/>
      </items>
    </pivotField>
    <pivotField axis="axisRow" showAll="0">
      <items count="10">
        <item x="7"/>
        <item x="6"/>
        <item x="3"/>
        <item x="2"/>
        <item x="0"/>
        <item x="4"/>
        <item x="1"/>
        <item x="5"/>
        <item x="8"/>
        <item t="default"/>
      </items>
    </pivotField>
    <pivotField showAll="0">
      <items count="5">
        <item x="0"/>
        <item x="1"/>
        <item x="2"/>
        <item x="3"/>
        <item t="default"/>
      </items>
    </pivotField>
    <pivotField dataField="1" showAll="0"/>
  </pivotFields>
  <rowFields count="1">
    <field x="4"/>
  </rowFields>
  <rowItems count="5">
    <i>
      <x v="3"/>
    </i>
    <i>
      <x v="4"/>
    </i>
    <i>
      <x v="6"/>
    </i>
    <i>
      <x v="7"/>
    </i>
    <i t="grand">
      <x/>
    </i>
  </rowItems>
  <colFields count="1">
    <field x="-2"/>
  </colFields>
  <colItems count="2">
    <i>
      <x/>
    </i>
    <i i="1">
      <x v="1"/>
    </i>
  </colItems>
  <pageFields count="2">
    <pageField fld="1" item="1" hier="-1"/>
    <pageField fld="3" item="1" hier="-1"/>
  </pageFields>
  <dataFields count="2">
    <dataField name="Média" fld="6" subtotal="average" baseField="4" baseItem="0"/>
    <dataField name="Var." fld="6" subtotal="var" baseField="4" baseItem="1"/>
  </dataFields>
  <formats count="1">
    <format dxfId="0">
      <pivotArea collapsedLevelsAreSubtotals="1" fieldPosition="0">
        <references count="2">
          <reference field="4294967294" count="1" selected="0">
            <x v="1"/>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AE272B-5C65-4097-AF88-166AE2997382}" name="Tabela dinâmica24"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J5:L10" firstHeaderRow="0" firstDataRow="1" firstDataCol="1" rowPageCount="2" colPageCount="1"/>
  <pivotFields count="7">
    <pivotField showAll="0"/>
    <pivotField axis="axisPage" showAll="0">
      <items count="3">
        <item x="0"/>
        <item x="1"/>
        <item t="default"/>
      </items>
    </pivotField>
    <pivotField showAll="0"/>
    <pivotField axis="axisPage" showAll="0">
      <items count="3">
        <item x="1"/>
        <item x="0"/>
        <item t="default"/>
      </items>
    </pivotField>
    <pivotField axis="axisRow" showAll="0">
      <items count="10">
        <item x="7"/>
        <item x="6"/>
        <item x="3"/>
        <item x="2"/>
        <item x="0"/>
        <item x="4"/>
        <item x="1"/>
        <item x="5"/>
        <item x="8"/>
        <item t="default"/>
      </items>
    </pivotField>
    <pivotField showAll="0">
      <items count="5">
        <item x="0"/>
        <item x="1"/>
        <item x="2"/>
        <item x="3"/>
        <item t="default"/>
      </items>
    </pivotField>
    <pivotField dataField="1" showAll="0"/>
  </pivotFields>
  <rowFields count="1">
    <field x="4"/>
  </rowFields>
  <rowItems count="5">
    <i>
      <x/>
    </i>
    <i>
      <x v="1"/>
    </i>
    <i>
      <x v="2"/>
    </i>
    <i>
      <x v="3"/>
    </i>
    <i t="grand">
      <x/>
    </i>
  </rowItems>
  <colFields count="1">
    <field x="-2"/>
  </colFields>
  <colItems count="2">
    <i>
      <x/>
    </i>
    <i i="1">
      <x v="1"/>
    </i>
  </colItems>
  <pageFields count="2">
    <pageField fld="1" item="1" hier="-1"/>
    <pageField fld="3" item="0" hier="-1"/>
  </pageFields>
  <dataFields count="2">
    <dataField name="Média" fld="6" subtotal="average" baseField="4" baseItem="0"/>
    <dataField name="Var." fld="6" subtotal="var" baseField="4" baseItem="1"/>
  </dataFields>
  <formats count="1">
    <format dxfId="1">
      <pivotArea collapsedLevelsAreSubtotals="1" fieldPosition="0">
        <references count="2">
          <reference field="4294967294" count="1" selected="0">
            <x v="1"/>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487C6F-5E9B-47C7-837E-85258114CFE7}" name="Tabela dinâmica21"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F5:H13" firstHeaderRow="0" firstDataRow="1" firstDataCol="1" rowPageCount="2" colPageCount="1"/>
  <pivotFields count="7">
    <pivotField showAll="0"/>
    <pivotField axis="axisPage" showAll="0">
      <items count="3">
        <item x="0"/>
        <item x="1"/>
        <item t="default"/>
      </items>
    </pivotField>
    <pivotField showAll="0"/>
    <pivotField axis="axisPage" showAll="0">
      <items count="3">
        <item x="1"/>
        <item x="0"/>
        <item t="default"/>
      </items>
    </pivotField>
    <pivotField axis="axisRow" showAll="0">
      <items count="10">
        <item x="7"/>
        <item x="6"/>
        <item x="3"/>
        <item x="2"/>
        <item x="0"/>
        <item x="4"/>
        <item x="1"/>
        <item x="5"/>
        <item x="8"/>
        <item t="default"/>
      </items>
    </pivotField>
    <pivotField showAll="0">
      <items count="5">
        <item x="0"/>
        <item x="1"/>
        <item x="2"/>
        <item x="3"/>
        <item t="default"/>
      </items>
    </pivotField>
    <pivotField dataField="1" showAll="0"/>
  </pivotFields>
  <rowFields count="1">
    <field x="4"/>
  </rowFields>
  <rowItems count="8">
    <i>
      <x/>
    </i>
    <i>
      <x v="1"/>
    </i>
    <i>
      <x v="2"/>
    </i>
    <i>
      <x v="3"/>
    </i>
    <i>
      <x v="4"/>
    </i>
    <i>
      <x v="6"/>
    </i>
    <i>
      <x v="7"/>
    </i>
    <i t="grand">
      <x/>
    </i>
  </rowItems>
  <colFields count="1">
    <field x="-2"/>
  </colFields>
  <colItems count="2">
    <i>
      <x/>
    </i>
    <i i="1">
      <x v="1"/>
    </i>
  </colItems>
  <pageFields count="2">
    <pageField fld="1" item="1" hier="-1"/>
    <pageField fld="3" hier="-1"/>
  </pageFields>
  <dataFields count="2">
    <dataField name="Média" fld="6" subtotal="average" baseField="4" baseItem="0"/>
    <dataField name="Var." fld="6" subtotal="var" baseField="4" baseItem="1"/>
  </dataFields>
  <formats count="1">
    <format dxfId="2">
      <pivotArea collapsedLevelsAreSubtotals="1" fieldPosition="0">
        <references count="2">
          <reference field="4294967294" count="1" selected="0">
            <x v="1"/>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D8772E0-E645-4889-9569-FD9F41E248A9}" name="Tabela dinâmica26"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N5:P8" firstHeaderRow="0" firstDataRow="1" firstDataCol="1" rowPageCount="2" colPageCount="1"/>
  <pivotFields count="7">
    <pivotField showAll="0"/>
    <pivotField axis="axisPage" showAll="0">
      <items count="3">
        <item x="0"/>
        <item x="1"/>
        <item t="default"/>
      </items>
    </pivotField>
    <pivotField showAll="0"/>
    <pivotField axis="axisPage" showAll="0">
      <items count="3">
        <item x="1"/>
        <item x="0"/>
        <item t="default"/>
      </items>
    </pivotField>
    <pivotField axis="axisRow" showAll="0">
      <items count="10">
        <item h="1" x="7"/>
        <item h="1" x="6"/>
        <item x="3"/>
        <item x="2"/>
        <item x="0"/>
        <item x="4"/>
        <item x="1"/>
        <item x="5"/>
        <item x="8"/>
        <item t="default"/>
      </items>
    </pivotField>
    <pivotField showAll="0">
      <items count="5">
        <item x="0"/>
        <item x="1"/>
        <item x="2"/>
        <item x="3"/>
        <item t="default"/>
      </items>
    </pivotField>
    <pivotField dataField="1" showAll="0"/>
  </pivotFields>
  <rowFields count="1">
    <field x="4"/>
  </rowFields>
  <rowItems count="3">
    <i>
      <x v="2"/>
    </i>
    <i>
      <x v="3"/>
    </i>
    <i t="grand">
      <x/>
    </i>
  </rowItems>
  <colFields count="1">
    <field x="-2"/>
  </colFields>
  <colItems count="2">
    <i>
      <x/>
    </i>
    <i i="1">
      <x v="1"/>
    </i>
  </colItems>
  <pageFields count="2">
    <pageField fld="1" item="1" hier="-1"/>
    <pageField fld="3" item="0" hier="-1"/>
  </pageFields>
  <dataFields count="2">
    <dataField name="Média" fld="6" subtotal="average" baseField="4" baseItem="0"/>
    <dataField name="Var." fld="6" subtotal="var" baseField="4" baseItem="1"/>
  </dataFields>
  <formats count="1">
    <format dxfId="3">
      <pivotArea collapsedLevelsAreSubtotals="1" fieldPosition="0">
        <references count="2">
          <reference field="4294967294" count="1" selected="0">
            <x v="1"/>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2.xml"/><Relationship Id="rId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C4AD3-D54F-A04A-AE50-24195AD5C561}">
  <dimension ref="A1:H121"/>
  <sheetViews>
    <sheetView zoomScaleNormal="100" workbookViewId="0">
      <selection activeCell="G4" sqref="G4"/>
    </sheetView>
  </sheetViews>
  <sheetFormatPr defaultColWidth="11" defaultRowHeight="16.3" x14ac:dyDescent="0.3"/>
  <cols>
    <col min="1" max="1" width="23.44140625" bestFit="1" customWidth="1"/>
    <col min="2" max="2" width="29.33203125" customWidth="1"/>
    <col min="3" max="3" width="26.33203125" customWidth="1"/>
    <col min="4" max="4" width="11.109375" bestFit="1" customWidth="1"/>
    <col min="5" max="5" width="25.109375" customWidth="1"/>
    <col min="6" max="6" width="20.44140625" bestFit="1" customWidth="1"/>
    <col min="7" max="7" width="19.77734375" bestFit="1" customWidth="1"/>
  </cols>
  <sheetData>
    <row r="1" spans="1:8" ht="56.05" customHeight="1" x14ac:dyDescent="0.3">
      <c r="A1" s="1" t="s">
        <v>7</v>
      </c>
      <c r="B1" s="1" t="s">
        <v>19</v>
      </c>
      <c r="C1" s="1" t="s">
        <v>18</v>
      </c>
      <c r="D1" s="1" t="s">
        <v>0</v>
      </c>
      <c r="E1" s="1" t="s">
        <v>8</v>
      </c>
      <c r="F1" s="1" t="s">
        <v>9</v>
      </c>
      <c r="G1" s="1" t="s">
        <v>42</v>
      </c>
    </row>
    <row r="2" spans="1:8" x14ac:dyDescent="0.3">
      <c r="A2">
        <v>1</v>
      </c>
      <c r="B2">
        <v>0</v>
      </c>
      <c r="C2">
        <v>50</v>
      </c>
      <c r="D2" t="s">
        <v>2</v>
      </c>
      <c r="E2" t="s">
        <v>3</v>
      </c>
      <c r="F2" t="s">
        <v>14</v>
      </c>
      <c r="G2">
        <f>IF(C2=50,0,C2)</f>
        <v>0</v>
      </c>
    </row>
    <row r="3" spans="1:8" x14ac:dyDescent="0.3">
      <c r="A3">
        <v>2</v>
      </c>
      <c r="B3">
        <v>0</v>
      </c>
      <c r="C3">
        <v>50</v>
      </c>
      <c r="D3" t="s">
        <v>2</v>
      </c>
      <c r="E3" t="s">
        <v>5</v>
      </c>
      <c r="F3" t="s">
        <v>15</v>
      </c>
      <c r="G3">
        <f t="shared" ref="G3:G66" si="0">IF(C3=50,0,C3)</f>
        <v>0</v>
      </c>
    </row>
    <row r="4" spans="1:8" x14ac:dyDescent="0.3">
      <c r="A4">
        <v>3</v>
      </c>
      <c r="B4">
        <v>0</v>
      </c>
      <c r="C4">
        <v>50</v>
      </c>
      <c r="D4" t="s">
        <v>2</v>
      </c>
      <c r="E4" t="s">
        <v>3</v>
      </c>
      <c r="F4" t="s">
        <v>15</v>
      </c>
      <c r="G4">
        <f t="shared" si="0"/>
        <v>0</v>
      </c>
    </row>
    <row r="5" spans="1:8" x14ac:dyDescent="0.3">
      <c r="A5">
        <v>4</v>
      </c>
      <c r="B5">
        <v>0</v>
      </c>
      <c r="C5">
        <v>50</v>
      </c>
      <c r="D5" t="s">
        <v>6</v>
      </c>
      <c r="E5" t="s">
        <v>3</v>
      </c>
      <c r="F5" t="s">
        <v>16</v>
      </c>
      <c r="G5">
        <f t="shared" si="0"/>
        <v>0</v>
      </c>
    </row>
    <row r="6" spans="1:8" x14ac:dyDescent="0.3">
      <c r="A6">
        <v>5</v>
      </c>
      <c r="B6">
        <v>0</v>
      </c>
      <c r="C6">
        <v>50</v>
      </c>
      <c r="D6" t="s">
        <v>2</v>
      </c>
      <c r="E6" t="s">
        <v>1</v>
      </c>
      <c r="F6" t="s">
        <v>16</v>
      </c>
      <c r="G6">
        <f t="shared" si="0"/>
        <v>0</v>
      </c>
    </row>
    <row r="7" spans="1:8" x14ac:dyDescent="0.3">
      <c r="A7">
        <v>6</v>
      </c>
      <c r="B7">
        <v>1</v>
      </c>
      <c r="C7">
        <v>86</v>
      </c>
      <c r="D7" t="s">
        <v>6</v>
      </c>
      <c r="E7" t="s">
        <v>12</v>
      </c>
      <c r="F7" t="s">
        <v>17</v>
      </c>
      <c r="G7">
        <f t="shared" si="0"/>
        <v>86</v>
      </c>
      <c r="H7" s="18"/>
    </row>
    <row r="8" spans="1:8" x14ac:dyDescent="0.3">
      <c r="A8">
        <v>7</v>
      </c>
      <c r="B8">
        <v>0</v>
      </c>
      <c r="C8">
        <v>50</v>
      </c>
      <c r="D8" t="s">
        <v>6</v>
      </c>
      <c r="E8" t="s">
        <v>4</v>
      </c>
      <c r="F8" t="s">
        <v>14</v>
      </c>
      <c r="G8">
        <f t="shared" si="0"/>
        <v>0</v>
      </c>
    </row>
    <row r="9" spans="1:8" x14ac:dyDescent="0.3">
      <c r="A9">
        <v>8</v>
      </c>
      <c r="B9">
        <v>1</v>
      </c>
      <c r="C9">
        <v>110</v>
      </c>
      <c r="D9" t="s">
        <v>2</v>
      </c>
      <c r="E9" t="s">
        <v>13</v>
      </c>
      <c r="F9" t="s">
        <v>14</v>
      </c>
      <c r="G9">
        <f t="shared" si="0"/>
        <v>110</v>
      </c>
    </row>
    <row r="10" spans="1:8" x14ac:dyDescent="0.3">
      <c r="A10">
        <v>9</v>
      </c>
      <c r="B10">
        <v>0</v>
      </c>
      <c r="C10">
        <v>50</v>
      </c>
      <c r="D10" t="s">
        <v>2</v>
      </c>
      <c r="E10" t="s">
        <v>12</v>
      </c>
      <c r="F10" t="s">
        <v>16</v>
      </c>
      <c r="G10">
        <f t="shared" si="0"/>
        <v>0</v>
      </c>
    </row>
    <row r="11" spans="1:8" x14ac:dyDescent="0.3">
      <c r="A11">
        <v>10</v>
      </c>
      <c r="B11">
        <v>1</v>
      </c>
      <c r="C11">
        <v>87</v>
      </c>
      <c r="D11" t="s">
        <v>6</v>
      </c>
      <c r="E11" t="s">
        <v>1</v>
      </c>
      <c r="F11" t="s">
        <v>17</v>
      </c>
      <c r="G11">
        <f t="shared" si="0"/>
        <v>87</v>
      </c>
    </row>
    <row r="12" spans="1:8" x14ac:dyDescent="0.3">
      <c r="A12">
        <v>11</v>
      </c>
      <c r="B12">
        <v>0</v>
      </c>
      <c r="C12">
        <v>50</v>
      </c>
      <c r="D12" t="s">
        <v>2</v>
      </c>
      <c r="E12" t="s">
        <v>11</v>
      </c>
      <c r="F12" t="s">
        <v>14</v>
      </c>
      <c r="G12">
        <f t="shared" si="0"/>
        <v>0</v>
      </c>
    </row>
    <row r="13" spans="1:8" x14ac:dyDescent="0.3">
      <c r="A13">
        <v>12</v>
      </c>
      <c r="B13">
        <v>1</v>
      </c>
      <c r="C13">
        <v>74</v>
      </c>
      <c r="D13" t="s">
        <v>6</v>
      </c>
      <c r="E13" t="s">
        <v>41</v>
      </c>
      <c r="F13" t="s">
        <v>15</v>
      </c>
      <c r="G13">
        <f t="shared" si="0"/>
        <v>74</v>
      </c>
    </row>
    <row r="14" spans="1:8" x14ac:dyDescent="0.3">
      <c r="A14">
        <v>13</v>
      </c>
      <c r="B14">
        <v>1</v>
      </c>
      <c r="C14">
        <v>89</v>
      </c>
      <c r="D14" t="s">
        <v>2</v>
      </c>
      <c r="E14" t="s">
        <v>1</v>
      </c>
      <c r="F14" t="s">
        <v>16</v>
      </c>
      <c r="G14">
        <f t="shared" si="0"/>
        <v>89</v>
      </c>
    </row>
    <row r="15" spans="1:8" x14ac:dyDescent="0.3">
      <c r="A15">
        <v>14</v>
      </c>
      <c r="B15">
        <v>1</v>
      </c>
      <c r="C15">
        <v>105</v>
      </c>
      <c r="D15" t="s">
        <v>2</v>
      </c>
      <c r="E15" t="s">
        <v>5</v>
      </c>
      <c r="F15" t="s">
        <v>15</v>
      </c>
      <c r="G15">
        <f t="shared" si="0"/>
        <v>105</v>
      </c>
    </row>
    <row r="16" spans="1:8" x14ac:dyDescent="0.3">
      <c r="A16">
        <v>15</v>
      </c>
      <c r="B16">
        <v>1</v>
      </c>
      <c r="C16">
        <v>106</v>
      </c>
      <c r="D16" t="s">
        <v>2</v>
      </c>
      <c r="E16" t="s">
        <v>5</v>
      </c>
      <c r="F16" t="s">
        <v>16</v>
      </c>
      <c r="G16">
        <f t="shared" si="0"/>
        <v>106</v>
      </c>
    </row>
    <row r="17" spans="1:7" x14ac:dyDescent="0.3">
      <c r="A17">
        <v>16</v>
      </c>
      <c r="B17">
        <v>0</v>
      </c>
      <c r="C17">
        <v>50</v>
      </c>
      <c r="D17" t="s">
        <v>2</v>
      </c>
      <c r="E17" t="s">
        <v>4</v>
      </c>
      <c r="F17" t="s">
        <v>15</v>
      </c>
      <c r="G17">
        <f t="shared" si="0"/>
        <v>0</v>
      </c>
    </row>
    <row r="18" spans="1:7" x14ac:dyDescent="0.3">
      <c r="A18">
        <v>17</v>
      </c>
      <c r="B18">
        <v>0</v>
      </c>
      <c r="C18">
        <v>50</v>
      </c>
      <c r="D18" t="s">
        <v>6</v>
      </c>
      <c r="E18" t="s">
        <v>1</v>
      </c>
      <c r="F18" t="s">
        <v>15</v>
      </c>
      <c r="G18">
        <f t="shared" si="0"/>
        <v>0</v>
      </c>
    </row>
    <row r="19" spans="1:7" x14ac:dyDescent="0.3">
      <c r="A19">
        <v>18</v>
      </c>
      <c r="B19">
        <v>1</v>
      </c>
      <c r="C19">
        <v>88</v>
      </c>
      <c r="D19" t="s">
        <v>2</v>
      </c>
      <c r="E19" t="s">
        <v>1</v>
      </c>
      <c r="F19" t="s">
        <v>15</v>
      </c>
      <c r="G19">
        <f t="shared" si="0"/>
        <v>88</v>
      </c>
    </row>
    <row r="20" spans="1:7" x14ac:dyDescent="0.3">
      <c r="A20">
        <v>19</v>
      </c>
      <c r="B20">
        <v>0</v>
      </c>
      <c r="C20">
        <v>50</v>
      </c>
      <c r="D20" t="s">
        <v>2</v>
      </c>
      <c r="E20" t="s">
        <v>1</v>
      </c>
      <c r="F20" t="s">
        <v>14</v>
      </c>
      <c r="G20">
        <f t="shared" si="0"/>
        <v>0</v>
      </c>
    </row>
    <row r="21" spans="1:7" x14ac:dyDescent="0.3">
      <c r="A21">
        <v>20</v>
      </c>
      <c r="B21">
        <v>0</v>
      </c>
      <c r="C21">
        <v>50</v>
      </c>
      <c r="D21" t="s">
        <v>2</v>
      </c>
      <c r="E21" t="s">
        <v>5</v>
      </c>
      <c r="F21" t="s">
        <v>15</v>
      </c>
      <c r="G21">
        <f t="shared" si="0"/>
        <v>0</v>
      </c>
    </row>
    <row r="22" spans="1:7" x14ac:dyDescent="0.3">
      <c r="A22">
        <v>21</v>
      </c>
      <c r="B22">
        <v>0</v>
      </c>
      <c r="C22">
        <v>50</v>
      </c>
      <c r="D22" t="s">
        <v>2</v>
      </c>
      <c r="E22" t="s">
        <v>5</v>
      </c>
      <c r="F22" t="s">
        <v>16</v>
      </c>
      <c r="G22">
        <f t="shared" si="0"/>
        <v>0</v>
      </c>
    </row>
    <row r="23" spans="1:7" x14ac:dyDescent="0.3">
      <c r="A23">
        <v>22</v>
      </c>
      <c r="B23">
        <v>1</v>
      </c>
      <c r="C23">
        <v>99</v>
      </c>
      <c r="D23" t="s">
        <v>2</v>
      </c>
      <c r="E23" t="s">
        <v>3</v>
      </c>
      <c r="F23" t="s">
        <v>17</v>
      </c>
      <c r="G23">
        <f t="shared" si="0"/>
        <v>99</v>
      </c>
    </row>
    <row r="24" spans="1:7" x14ac:dyDescent="0.3">
      <c r="A24">
        <v>23</v>
      </c>
      <c r="B24">
        <v>1</v>
      </c>
      <c r="C24">
        <v>88</v>
      </c>
      <c r="D24" t="s">
        <v>2</v>
      </c>
      <c r="E24" t="s">
        <v>3</v>
      </c>
      <c r="F24" t="s">
        <v>17</v>
      </c>
      <c r="G24">
        <f t="shared" si="0"/>
        <v>88</v>
      </c>
    </row>
    <row r="25" spans="1:7" x14ac:dyDescent="0.3">
      <c r="A25">
        <v>24</v>
      </c>
      <c r="B25">
        <v>0</v>
      </c>
      <c r="C25">
        <v>50</v>
      </c>
      <c r="D25" t="s">
        <v>6</v>
      </c>
      <c r="E25" t="s">
        <v>12</v>
      </c>
      <c r="F25" t="s">
        <v>17</v>
      </c>
      <c r="G25">
        <f t="shared" si="0"/>
        <v>0</v>
      </c>
    </row>
    <row r="26" spans="1:7" x14ac:dyDescent="0.3">
      <c r="A26">
        <v>25</v>
      </c>
      <c r="B26">
        <v>1</v>
      </c>
      <c r="C26">
        <v>80</v>
      </c>
      <c r="D26" t="s">
        <v>6</v>
      </c>
      <c r="E26" t="s">
        <v>11</v>
      </c>
      <c r="F26" t="s">
        <v>17</v>
      </c>
      <c r="G26">
        <f t="shared" si="0"/>
        <v>80</v>
      </c>
    </row>
    <row r="27" spans="1:7" x14ac:dyDescent="0.3">
      <c r="A27">
        <v>26</v>
      </c>
      <c r="B27">
        <v>0</v>
      </c>
      <c r="C27">
        <v>50</v>
      </c>
      <c r="D27" t="s">
        <v>2</v>
      </c>
      <c r="E27" t="s">
        <v>4</v>
      </c>
      <c r="F27" t="s">
        <v>14</v>
      </c>
      <c r="G27">
        <f t="shared" si="0"/>
        <v>0</v>
      </c>
    </row>
    <row r="28" spans="1:7" x14ac:dyDescent="0.3">
      <c r="A28">
        <v>27</v>
      </c>
      <c r="B28">
        <v>0</v>
      </c>
      <c r="C28">
        <v>50</v>
      </c>
      <c r="D28" t="s">
        <v>2</v>
      </c>
      <c r="E28" t="s">
        <v>12</v>
      </c>
      <c r="F28" t="s">
        <v>14</v>
      </c>
      <c r="G28">
        <f t="shared" si="0"/>
        <v>0</v>
      </c>
    </row>
    <row r="29" spans="1:7" x14ac:dyDescent="0.3">
      <c r="A29">
        <v>28</v>
      </c>
      <c r="B29">
        <v>0</v>
      </c>
      <c r="C29">
        <v>50</v>
      </c>
      <c r="D29" t="s">
        <v>2</v>
      </c>
      <c r="E29" t="s">
        <v>1</v>
      </c>
      <c r="F29" t="s">
        <v>14</v>
      </c>
      <c r="G29">
        <f t="shared" si="0"/>
        <v>0</v>
      </c>
    </row>
    <row r="30" spans="1:7" x14ac:dyDescent="0.3">
      <c r="A30">
        <v>29</v>
      </c>
      <c r="B30">
        <v>1</v>
      </c>
      <c r="C30">
        <v>91</v>
      </c>
      <c r="D30" t="s">
        <v>2</v>
      </c>
      <c r="E30" t="s">
        <v>3</v>
      </c>
      <c r="F30" t="s">
        <v>16</v>
      </c>
      <c r="G30">
        <f t="shared" si="0"/>
        <v>91</v>
      </c>
    </row>
    <row r="31" spans="1:7" x14ac:dyDescent="0.3">
      <c r="A31">
        <v>30</v>
      </c>
      <c r="B31">
        <v>1</v>
      </c>
      <c r="C31">
        <v>94</v>
      </c>
      <c r="D31" t="s">
        <v>2</v>
      </c>
      <c r="E31" t="s">
        <v>3</v>
      </c>
      <c r="F31" t="s">
        <v>17</v>
      </c>
      <c r="G31">
        <f t="shared" si="0"/>
        <v>94</v>
      </c>
    </row>
    <row r="32" spans="1:7" x14ac:dyDescent="0.3">
      <c r="A32">
        <v>31</v>
      </c>
      <c r="B32">
        <v>0</v>
      </c>
      <c r="C32">
        <v>50</v>
      </c>
      <c r="D32" t="s">
        <v>6</v>
      </c>
      <c r="E32" t="s">
        <v>12</v>
      </c>
      <c r="F32" t="s">
        <v>17</v>
      </c>
      <c r="G32">
        <f t="shared" si="0"/>
        <v>0</v>
      </c>
    </row>
    <row r="33" spans="1:7" x14ac:dyDescent="0.3">
      <c r="A33">
        <v>32</v>
      </c>
      <c r="B33">
        <v>0</v>
      </c>
      <c r="C33">
        <v>50</v>
      </c>
      <c r="D33" t="s">
        <v>2</v>
      </c>
      <c r="E33" t="s">
        <v>5</v>
      </c>
      <c r="F33" t="s">
        <v>16</v>
      </c>
      <c r="G33">
        <f t="shared" si="0"/>
        <v>0</v>
      </c>
    </row>
    <row r="34" spans="1:7" x14ac:dyDescent="0.3">
      <c r="A34">
        <v>33</v>
      </c>
      <c r="B34">
        <v>1</v>
      </c>
      <c r="C34">
        <v>99</v>
      </c>
      <c r="D34" t="s">
        <v>2</v>
      </c>
      <c r="E34" t="s">
        <v>3</v>
      </c>
      <c r="F34" t="s">
        <v>15</v>
      </c>
      <c r="G34">
        <f t="shared" si="0"/>
        <v>99</v>
      </c>
    </row>
    <row r="35" spans="1:7" x14ac:dyDescent="0.3">
      <c r="A35">
        <v>34</v>
      </c>
      <c r="B35">
        <v>1</v>
      </c>
      <c r="C35">
        <v>90</v>
      </c>
      <c r="D35" t="s">
        <v>2</v>
      </c>
      <c r="E35" t="s">
        <v>1</v>
      </c>
      <c r="F35" t="s">
        <v>15</v>
      </c>
      <c r="G35">
        <f t="shared" si="0"/>
        <v>90</v>
      </c>
    </row>
    <row r="36" spans="1:7" x14ac:dyDescent="0.3">
      <c r="A36">
        <v>35</v>
      </c>
      <c r="B36">
        <v>0</v>
      </c>
      <c r="C36">
        <v>50</v>
      </c>
      <c r="D36" t="s">
        <v>6</v>
      </c>
      <c r="E36" t="s">
        <v>12</v>
      </c>
      <c r="F36" t="s">
        <v>14</v>
      </c>
      <c r="G36">
        <f t="shared" si="0"/>
        <v>0</v>
      </c>
    </row>
    <row r="37" spans="1:7" x14ac:dyDescent="0.3">
      <c r="A37">
        <v>36</v>
      </c>
      <c r="B37">
        <v>0</v>
      </c>
      <c r="C37">
        <v>50</v>
      </c>
      <c r="D37" t="s">
        <v>2</v>
      </c>
      <c r="E37" t="s">
        <v>3</v>
      </c>
      <c r="F37" t="s">
        <v>15</v>
      </c>
      <c r="G37">
        <f t="shared" si="0"/>
        <v>0</v>
      </c>
    </row>
    <row r="38" spans="1:7" x14ac:dyDescent="0.3">
      <c r="A38">
        <v>37</v>
      </c>
      <c r="B38">
        <v>0</v>
      </c>
      <c r="C38">
        <v>50</v>
      </c>
      <c r="D38" t="s">
        <v>6</v>
      </c>
      <c r="E38" t="s">
        <v>5</v>
      </c>
      <c r="F38" t="s">
        <v>14</v>
      </c>
      <c r="G38">
        <f t="shared" si="0"/>
        <v>0</v>
      </c>
    </row>
    <row r="39" spans="1:7" x14ac:dyDescent="0.3">
      <c r="A39">
        <v>38</v>
      </c>
      <c r="B39">
        <v>0</v>
      </c>
      <c r="C39">
        <v>50</v>
      </c>
      <c r="D39" t="s">
        <v>2</v>
      </c>
      <c r="E39" t="s">
        <v>12</v>
      </c>
      <c r="F39" t="s">
        <v>15</v>
      </c>
      <c r="G39">
        <f t="shared" si="0"/>
        <v>0</v>
      </c>
    </row>
    <row r="40" spans="1:7" x14ac:dyDescent="0.3">
      <c r="A40">
        <v>39</v>
      </c>
      <c r="B40">
        <v>0</v>
      </c>
      <c r="C40">
        <v>50</v>
      </c>
      <c r="D40" t="s">
        <v>2</v>
      </c>
      <c r="E40" t="s">
        <v>13</v>
      </c>
      <c r="F40" t="s">
        <v>15</v>
      </c>
      <c r="G40">
        <f t="shared" si="0"/>
        <v>0</v>
      </c>
    </row>
    <row r="41" spans="1:7" x14ac:dyDescent="0.3">
      <c r="A41">
        <v>40</v>
      </c>
      <c r="B41">
        <v>0</v>
      </c>
      <c r="C41">
        <v>50</v>
      </c>
      <c r="D41" t="s">
        <v>2</v>
      </c>
      <c r="E41" t="s">
        <v>4</v>
      </c>
      <c r="F41" t="s">
        <v>15</v>
      </c>
      <c r="G41">
        <f t="shared" si="0"/>
        <v>0</v>
      </c>
    </row>
    <row r="42" spans="1:7" x14ac:dyDescent="0.3">
      <c r="A42">
        <v>41</v>
      </c>
      <c r="B42">
        <v>0</v>
      </c>
      <c r="C42">
        <v>50</v>
      </c>
      <c r="D42" t="s">
        <v>2</v>
      </c>
      <c r="E42" t="s">
        <v>1</v>
      </c>
      <c r="F42" t="s">
        <v>17</v>
      </c>
      <c r="G42">
        <f t="shared" si="0"/>
        <v>0</v>
      </c>
    </row>
    <row r="43" spans="1:7" x14ac:dyDescent="0.3">
      <c r="A43">
        <v>42</v>
      </c>
      <c r="B43">
        <v>1</v>
      </c>
      <c r="C43">
        <v>91</v>
      </c>
      <c r="D43" t="s">
        <v>2</v>
      </c>
      <c r="E43" t="s">
        <v>1</v>
      </c>
      <c r="F43" t="s">
        <v>16</v>
      </c>
      <c r="G43">
        <f t="shared" si="0"/>
        <v>91</v>
      </c>
    </row>
    <row r="44" spans="1:7" x14ac:dyDescent="0.3">
      <c r="A44">
        <v>43</v>
      </c>
      <c r="B44">
        <v>0</v>
      </c>
      <c r="C44">
        <v>50</v>
      </c>
      <c r="D44" t="s">
        <v>2</v>
      </c>
      <c r="E44" t="s">
        <v>4</v>
      </c>
      <c r="F44" t="s">
        <v>17</v>
      </c>
      <c r="G44">
        <f t="shared" si="0"/>
        <v>0</v>
      </c>
    </row>
    <row r="45" spans="1:7" x14ac:dyDescent="0.3">
      <c r="A45">
        <v>44</v>
      </c>
      <c r="B45">
        <v>0</v>
      </c>
      <c r="C45">
        <v>50</v>
      </c>
      <c r="D45" t="s">
        <v>2</v>
      </c>
      <c r="E45" t="s">
        <v>1</v>
      </c>
      <c r="F45" t="s">
        <v>14</v>
      </c>
      <c r="G45">
        <f t="shared" si="0"/>
        <v>0</v>
      </c>
    </row>
    <row r="46" spans="1:7" x14ac:dyDescent="0.3">
      <c r="A46">
        <v>45</v>
      </c>
      <c r="B46">
        <v>0</v>
      </c>
      <c r="C46">
        <v>50</v>
      </c>
      <c r="D46" t="s">
        <v>2</v>
      </c>
      <c r="E46" t="s">
        <v>4</v>
      </c>
      <c r="F46" t="s">
        <v>17</v>
      </c>
      <c r="G46">
        <f t="shared" si="0"/>
        <v>0</v>
      </c>
    </row>
    <row r="47" spans="1:7" x14ac:dyDescent="0.3">
      <c r="A47">
        <v>46</v>
      </c>
      <c r="B47">
        <v>0</v>
      </c>
      <c r="C47">
        <v>50</v>
      </c>
      <c r="D47" t="s">
        <v>2</v>
      </c>
      <c r="E47" t="s">
        <v>3</v>
      </c>
      <c r="F47" t="s">
        <v>17</v>
      </c>
      <c r="G47">
        <f t="shared" si="0"/>
        <v>0</v>
      </c>
    </row>
    <row r="48" spans="1:7" x14ac:dyDescent="0.3">
      <c r="A48">
        <v>47</v>
      </c>
      <c r="B48">
        <v>1</v>
      </c>
      <c r="C48">
        <v>94</v>
      </c>
      <c r="D48" t="s">
        <v>2</v>
      </c>
      <c r="E48" t="s">
        <v>3</v>
      </c>
      <c r="F48" t="s">
        <v>14</v>
      </c>
      <c r="G48">
        <f t="shared" si="0"/>
        <v>94</v>
      </c>
    </row>
    <row r="49" spans="1:7" x14ac:dyDescent="0.3">
      <c r="A49">
        <v>48</v>
      </c>
      <c r="B49">
        <v>0</v>
      </c>
      <c r="C49">
        <v>50</v>
      </c>
      <c r="D49" t="s">
        <v>2</v>
      </c>
      <c r="E49" t="s">
        <v>5</v>
      </c>
      <c r="F49" t="s">
        <v>14</v>
      </c>
      <c r="G49">
        <f t="shared" si="0"/>
        <v>0</v>
      </c>
    </row>
    <row r="50" spans="1:7" x14ac:dyDescent="0.3">
      <c r="A50">
        <v>49</v>
      </c>
      <c r="B50">
        <v>1</v>
      </c>
      <c r="C50">
        <v>90</v>
      </c>
      <c r="D50" t="s">
        <v>2</v>
      </c>
      <c r="E50" t="s">
        <v>1</v>
      </c>
      <c r="F50" t="s">
        <v>14</v>
      </c>
      <c r="G50">
        <f t="shared" si="0"/>
        <v>90</v>
      </c>
    </row>
    <row r="51" spans="1:7" x14ac:dyDescent="0.3">
      <c r="A51">
        <v>50</v>
      </c>
      <c r="B51">
        <v>0</v>
      </c>
      <c r="C51">
        <v>50</v>
      </c>
      <c r="D51" t="s">
        <v>2</v>
      </c>
      <c r="E51" t="s">
        <v>3</v>
      </c>
      <c r="F51" t="s">
        <v>16</v>
      </c>
      <c r="G51">
        <f t="shared" si="0"/>
        <v>0</v>
      </c>
    </row>
    <row r="52" spans="1:7" x14ac:dyDescent="0.3">
      <c r="A52">
        <v>51</v>
      </c>
      <c r="B52">
        <v>0</v>
      </c>
      <c r="C52">
        <v>50</v>
      </c>
      <c r="D52" t="s">
        <v>6</v>
      </c>
      <c r="E52" t="s">
        <v>3</v>
      </c>
      <c r="F52" t="s">
        <v>17</v>
      </c>
      <c r="G52">
        <f t="shared" si="0"/>
        <v>0</v>
      </c>
    </row>
    <row r="53" spans="1:7" x14ac:dyDescent="0.3">
      <c r="A53">
        <v>52</v>
      </c>
      <c r="B53">
        <v>0</v>
      </c>
      <c r="C53">
        <v>50</v>
      </c>
      <c r="D53" t="s">
        <v>2</v>
      </c>
      <c r="E53" t="s">
        <v>4</v>
      </c>
      <c r="F53" t="s">
        <v>14</v>
      </c>
      <c r="G53">
        <f t="shared" si="0"/>
        <v>0</v>
      </c>
    </row>
    <row r="54" spans="1:7" x14ac:dyDescent="0.3">
      <c r="A54">
        <v>53</v>
      </c>
      <c r="B54">
        <v>1</v>
      </c>
      <c r="C54">
        <v>89</v>
      </c>
      <c r="D54" t="s">
        <v>2</v>
      </c>
      <c r="E54" t="s">
        <v>1</v>
      </c>
      <c r="F54" t="s">
        <v>14</v>
      </c>
      <c r="G54">
        <f t="shared" si="0"/>
        <v>89</v>
      </c>
    </row>
    <row r="55" spans="1:7" x14ac:dyDescent="0.3">
      <c r="A55">
        <v>54</v>
      </c>
      <c r="B55">
        <v>1</v>
      </c>
      <c r="C55">
        <v>98</v>
      </c>
      <c r="D55" t="s">
        <v>2</v>
      </c>
      <c r="E55" t="s">
        <v>3</v>
      </c>
      <c r="F55" t="s">
        <v>17</v>
      </c>
      <c r="G55">
        <f t="shared" si="0"/>
        <v>98</v>
      </c>
    </row>
    <row r="56" spans="1:7" x14ac:dyDescent="0.3">
      <c r="A56">
        <v>55</v>
      </c>
      <c r="B56">
        <v>0</v>
      </c>
      <c r="C56">
        <v>50</v>
      </c>
      <c r="D56" t="s">
        <v>2</v>
      </c>
      <c r="E56" t="s">
        <v>10</v>
      </c>
      <c r="F56" t="s">
        <v>16</v>
      </c>
      <c r="G56">
        <f t="shared" si="0"/>
        <v>0</v>
      </c>
    </row>
    <row r="57" spans="1:7" x14ac:dyDescent="0.3">
      <c r="A57">
        <v>56</v>
      </c>
      <c r="B57">
        <v>0</v>
      </c>
      <c r="C57">
        <v>50</v>
      </c>
      <c r="D57" t="s">
        <v>2</v>
      </c>
      <c r="E57" t="s">
        <v>3</v>
      </c>
      <c r="F57" t="s">
        <v>15</v>
      </c>
      <c r="G57">
        <f t="shared" si="0"/>
        <v>0</v>
      </c>
    </row>
    <row r="58" spans="1:7" x14ac:dyDescent="0.3">
      <c r="A58">
        <v>57</v>
      </c>
      <c r="B58">
        <v>0</v>
      </c>
      <c r="C58">
        <v>50</v>
      </c>
      <c r="D58" t="s">
        <v>2</v>
      </c>
      <c r="E58" t="s">
        <v>1</v>
      </c>
      <c r="F58" t="s">
        <v>15</v>
      </c>
      <c r="G58">
        <f t="shared" si="0"/>
        <v>0</v>
      </c>
    </row>
    <row r="59" spans="1:7" x14ac:dyDescent="0.3">
      <c r="A59">
        <v>58</v>
      </c>
      <c r="B59">
        <v>1</v>
      </c>
      <c r="C59">
        <v>82</v>
      </c>
      <c r="D59" t="s">
        <v>6</v>
      </c>
      <c r="E59" t="s">
        <v>11</v>
      </c>
      <c r="F59" t="s">
        <v>14</v>
      </c>
      <c r="G59">
        <f t="shared" si="0"/>
        <v>82</v>
      </c>
    </row>
    <row r="60" spans="1:7" x14ac:dyDescent="0.3">
      <c r="A60">
        <v>59</v>
      </c>
      <c r="B60">
        <v>0</v>
      </c>
      <c r="C60">
        <v>50</v>
      </c>
      <c r="D60" t="s">
        <v>2</v>
      </c>
      <c r="E60" t="s">
        <v>3</v>
      </c>
      <c r="F60" t="s">
        <v>16</v>
      </c>
      <c r="G60">
        <f t="shared" si="0"/>
        <v>0</v>
      </c>
    </row>
    <row r="61" spans="1:7" x14ac:dyDescent="0.3">
      <c r="A61">
        <v>60</v>
      </c>
      <c r="B61">
        <v>0</v>
      </c>
      <c r="C61">
        <v>50</v>
      </c>
      <c r="D61" t="s">
        <v>6</v>
      </c>
      <c r="E61" t="s">
        <v>12</v>
      </c>
      <c r="F61" t="s">
        <v>16</v>
      </c>
      <c r="G61">
        <f t="shared" si="0"/>
        <v>0</v>
      </c>
    </row>
    <row r="62" spans="1:7" x14ac:dyDescent="0.3">
      <c r="A62">
        <v>61</v>
      </c>
      <c r="B62">
        <v>0</v>
      </c>
      <c r="C62">
        <v>50</v>
      </c>
      <c r="D62" t="s">
        <v>2</v>
      </c>
      <c r="E62" t="s">
        <v>4</v>
      </c>
      <c r="F62" t="s">
        <v>17</v>
      </c>
      <c r="G62">
        <f t="shared" si="0"/>
        <v>0</v>
      </c>
    </row>
    <row r="63" spans="1:7" x14ac:dyDescent="0.3">
      <c r="A63">
        <v>62</v>
      </c>
      <c r="B63">
        <v>0</v>
      </c>
      <c r="C63">
        <v>50</v>
      </c>
      <c r="D63" t="s">
        <v>6</v>
      </c>
      <c r="E63" t="s">
        <v>3</v>
      </c>
      <c r="F63" t="s">
        <v>16</v>
      </c>
      <c r="G63">
        <f t="shared" si="0"/>
        <v>0</v>
      </c>
    </row>
    <row r="64" spans="1:7" x14ac:dyDescent="0.3">
      <c r="A64">
        <v>63</v>
      </c>
      <c r="B64">
        <v>0</v>
      </c>
      <c r="C64">
        <v>50</v>
      </c>
      <c r="D64" t="s">
        <v>6</v>
      </c>
      <c r="E64" t="s">
        <v>3</v>
      </c>
      <c r="F64" t="s">
        <v>17</v>
      </c>
      <c r="G64">
        <f t="shared" si="0"/>
        <v>0</v>
      </c>
    </row>
    <row r="65" spans="1:7" x14ac:dyDescent="0.3">
      <c r="A65">
        <v>64</v>
      </c>
      <c r="B65">
        <v>1</v>
      </c>
      <c r="C65">
        <v>97</v>
      </c>
      <c r="D65" t="s">
        <v>2</v>
      </c>
      <c r="E65" t="s">
        <v>3</v>
      </c>
      <c r="F65" t="s">
        <v>17</v>
      </c>
      <c r="G65">
        <f t="shared" si="0"/>
        <v>97</v>
      </c>
    </row>
    <row r="66" spans="1:7" x14ac:dyDescent="0.3">
      <c r="A66">
        <v>65</v>
      </c>
      <c r="B66">
        <v>0</v>
      </c>
      <c r="C66">
        <v>50</v>
      </c>
      <c r="D66" t="s">
        <v>2</v>
      </c>
      <c r="E66" t="s">
        <v>1</v>
      </c>
      <c r="F66" t="s">
        <v>14</v>
      </c>
      <c r="G66">
        <f t="shared" si="0"/>
        <v>0</v>
      </c>
    </row>
    <row r="67" spans="1:7" x14ac:dyDescent="0.3">
      <c r="A67">
        <v>66</v>
      </c>
      <c r="B67">
        <v>0</v>
      </c>
      <c r="C67">
        <v>50</v>
      </c>
      <c r="D67" t="s">
        <v>6</v>
      </c>
      <c r="E67" t="s">
        <v>5</v>
      </c>
      <c r="F67" t="s">
        <v>16</v>
      </c>
      <c r="G67">
        <f t="shared" ref="G67:G121" si="1">IF(C67=50,0,C67)</f>
        <v>0</v>
      </c>
    </row>
    <row r="68" spans="1:7" x14ac:dyDescent="0.3">
      <c r="A68">
        <v>67</v>
      </c>
      <c r="B68">
        <v>1</v>
      </c>
      <c r="C68">
        <v>95</v>
      </c>
      <c r="D68" t="s">
        <v>2</v>
      </c>
      <c r="E68" t="s">
        <v>3</v>
      </c>
      <c r="F68" t="s">
        <v>15</v>
      </c>
      <c r="G68">
        <f t="shared" si="1"/>
        <v>95</v>
      </c>
    </row>
    <row r="69" spans="1:7" x14ac:dyDescent="0.3">
      <c r="A69">
        <v>68</v>
      </c>
      <c r="B69">
        <v>1</v>
      </c>
      <c r="C69">
        <v>86</v>
      </c>
      <c r="D69" t="s">
        <v>6</v>
      </c>
      <c r="E69" t="s">
        <v>12</v>
      </c>
      <c r="F69" t="s">
        <v>14</v>
      </c>
      <c r="G69">
        <f t="shared" si="1"/>
        <v>86</v>
      </c>
    </row>
    <row r="70" spans="1:7" x14ac:dyDescent="0.3">
      <c r="A70">
        <v>69</v>
      </c>
      <c r="B70">
        <v>0</v>
      </c>
      <c r="C70">
        <v>50</v>
      </c>
      <c r="D70" t="s">
        <v>2</v>
      </c>
      <c r="E70" t="s">
        <v>1</v>
      </c>
      <c r="F70" t="s">
        <v>17</v>
      </c>
      <c r="G70">
        <f t="shared" si="1"/>
        <v>0</v>
      </c>
    </row>
    <row r="71" spans="1:7" x14ac:dyDescent="0.3">
      <c r="A71">
        <v>70</v>
      </c>
      <c r="B71">
        <v>1</v>
      </c>
      <c r="C71">
        <v>86</v>
      </c>
      <c r="D71" t="s">
        <v>6</v>
      </c>
      <c r="E71" t="s">
        <v>1</v>
      </c>
      <c r="F71" t="s">
        <v>14</v>
      </c>
      <c r="G71">
        <f t="shared" si="1"/>
        <v>86</v>
      </c>
    </row>
    <row r="72" spans="1:7" x14ac:dyDescent="0.3">
      <c r="A72">
        <v>71</v>
      </c>
      <c r="B72">
        <v>0</v>
      </c>
      <c r="C72">
        <v>50</v>
      </c>
      <c r="D72" t="s">
        <v>2</v>
      </c>
      <c r="E72" t="s">
        <v>12</v>
      </c>
      <c r="F72" t="s">
        <v>15</v>
      </c>
      <c r="G72">
        <f t="shared" si="1"/>
        <v>0</v>
      </c>
    </row>
    <row r="73" spans="1:7" x14ac:dyDescent="0.3">
      <c r="A73">
        <v>72</v>
      </c>
      <c r="B73">
        <v>1</v>
      </c>
      <c r="C73">
        <v>84</v>
      </c>
      <c r="D73" t="s">
        <v>6</v>
      </c>
      <c r="E73" t="s">
        <v>12</v>
      </c>
      <c r="F73" t="s">
        <v>15</v>
      </c>
      <c r="G73">
        <f t="shared" si="1"/>
        <v>84</v>
      </c>
    </row>
    <row r="74" spans="1:7" x14ac:dyDescent="0.3">
      <c r="A74">
        <v>73</v>
      </c>
      <c r="B74">
        <v>1</v>
      </c>
      <c r="C74">
        <v>86</v>
      </c>
      <c r="D74" t="s">
        <v>6</v>
      </c>
      <c r="E74" t="s">
        <v>1</v>
      </c>
      <c r="F74" t="s">
        <v>17</v>
      </c>
      <c r="G74">
        <f t="shared" si="1"/>
        <v>86</v>
      </c>
    </row>
    <row r="75" spans="1:7" x14ac:dyDescent="0.3">
      <c r="A75">
        <v>74</v>
      </c>
      <c r="B75">
        <v>0</v>
      </c>
      <c r="C75">
        <v>50</v>
      </c>
      <c r="D75" t="s">
        <v>6</v>
      </c>
      <c r="E75" t="s">
        <v>11</v>
      </c>
      <c r="F75" t="s">
        <v>14</v>
      </c>
      <c r="G75">
        <f t="shared" si="1"/>
        <v>0</v>
      </c>
    </row>
    <row r="76" spans="1:7" x14ac:dyDescent="0.3">
      <c r="A76">
        <v>75</v>
      </c>
      <c r="B76">
        <v>1</v>
      </c>
      <c r="C76">
        <v>103</v>
      </c>
      <c r="D76" t="s">
        <v>2</v>
      </c>
      <c r="E76" t="s">
        <v>5</v>
      </c>
      <c r="F76" t="s">
        <v>16</v>
      </c>
      <c r="G76">
        <f t="shared" si="1"/>
        <v>103</v>
      </c>
    </row>
    <row r="77" spans="1:7" x14ac:dyDescent="0.3">
      <c r="A77">
        <v>76</v>
      </c>
      <c r="B77">
        <v>1</v>
      </c>
      <c r="C77">
        <v>89</v>
      </c>
      <c r="D77" t="s">
        <v>2</v>
      </c>
      <c r="E77" t="s">
        <v>3</v>
      </c>
      <c r="F77" t="s">
        <v>15</v>
      </c>
      <c r="G77">
        <f t="shared" si="1"/>
        <v>89</v>
      </c>
    </row>
    <row r="78" spans="1:7" x14ac:dyDescent="0.3">
      <c r="A78">
        <v>77</v>
      </c>
      <c r="B78">
        <v>1</v>
      </c>
      <c r="C78">
        <v>84</v>
      </c>
      <c r="D78" t="s">
        <v>6</v>
      </c>
      <c r="E78" t="s">
        <v>12</v>
      </c>
      <c r="F78" t="s">
        <v>15</v>
      </c>
      <c r="G78">
        <f t="shared" si="1"/>
        <v>84</v>
      </c>
    </row>
    <row r="79" spans="1:7" x14ac:dyDescent="0.3">
      <c r="A79">
        <v>78</v>
      </c>
      <c r="B79">
        <v>0</v>
      </c>
      <c r="C79">
        <v>50</v>
      </c>
      <c r="D79" t="s">
        <v>6</v>
      </c>
      <c r="E79" t="s">
        <v>1</v>
      </c>
      <c r="F79" t="s">
        <v>16</v>
      </c>
      <c r="G79">
        <f t="shared" si="1"/>
        <v>0</v>
      </c>
    </row>
    <row r="80" spans="1:7" x14ac:dyDescent="0.3">
      <c r="A80">
        <v>79</v>
      </c>
      <c r="B80">
        <v>0</v>
      </c>
      <c r="C80">
        <v>50</v>
      </c>
      <c r="D80" t="s">
        <v>2</v>
      </c>
      <c r="E80" t="s">
        <v>3</v>
      </c>
      <c r="F80" t="s">
        <v>15</v>
      </c>
      <c r="G80">
        <f t="shared" si="1"/>
        <v>0</v>
      </c>
    </row>
    <row r="81" spans="1:7" x14ac:dyDescent="0.3">
      <c r="A81">
        <v>80</v>
      </c>
      <c r="B81">
        <v>0</v>
      </c>
      <c r="C81">
        <v>50</v>
      </c>
      <c r="D81" t="s">
        <v>2</v>
      </c>
      <c r="E81" t="s">
        <v>5</v>
      </c>
      <c r="F81" t="s">
        <v>17</v>
      </c>
      <c r="G81">
        <f t="shared" si="1"/>
        <v>0</v>
      </c>
    </row>
    <row r="82" spans="1:7" x14ac:dyDescent="0.3">
      <c r="A82">
        <v>81</v>
      </c>
      <c r="B82">
        <v>1</v>
      </c>
      <c r="C82">
        <v>96</v>
      </c>
      <c r="D82" t="s">
        <v>2</v>
      </c>
      <c r="E82" t="s">
        <v>3</v>
      </c>
      <c r="F82" t="s">
        <v>14</v>
      </c>
      <c r="G82">
        <f t="shared" si="1"/>
        <v>96</v>
      </c>
    </row>
    <row r="83" spans="1:7" x14ac:dyDescent="0.3">
      <c r="A83">
        <v>82</v>
      </c>
      <c r="B83">
        <v>1</v>
      </c>
      <c r="C83">
        <v>92</v>
      </c>
      <c r="D83" t="s">
        <v>2</v>
      </c>
      <c r="E83" t="s">
        <v>3</v>
      </c>
      <c r="F83" t="s">
        <v>17</v>
      </c>
      <c r="G83">
        <f t="shared" si="1"/>
        <v>92</v>
      </c>
    </row>
    <row r="84" spans="1:7" x14ac:dyDescent="0.3">
      <c r="A84">
        <v>83</v>
      </c>
      <c r="B84">
        <v>0</v>
      </c>
      <c r="C84">
        <v>50</v>
      </c>
      <c r="D84" t="s">
        <v>2</v>
      </c>
      <c r="E84" t="s">
        <v>13</v>
      </c>
      <c r="F84" t="s">
        <v>17</v>
      </c>
      <c r="G84">
        <f t="shared" si="1"/>
        <v>0</v>
      </c>
    </row>
    <row r="85" spans="1:7" x14ac:dyDescent="0.3">
      <c r="A85">
        <v>84</v>
      </c>
      <c r="B85">
        <v>0</v>
      </c>
      <c r="C85">
        <v>50</v>
      </c>
      <c r="D85" t="s">
        <v>2</v>
      </c>
      <c r="E85" t="s">
        <v>12</v>
      </c>
      <c r="F85" t="s">
        <v>16</v>
      </c>
      <c r="G85">
        <f t="shared" si="1"/>
        <v>0</v>
      </c>
    </row>
    <row r="86" spans="1:7" x14ac:dyDescent="0.3">
      <c r="A86">
        <v>85</v>
      </c>
      <c r="B86">
        <v>0</v>
      </c>
      <c r="C86">
        <v>50</v>
      </c>
      <c r="D86" t="s">
        <v>6</v>
      </c>
      <c r="E86" t="s">
        <v>3</v>
      </c>
      <c r="F86" t="s">
        <v>16</v>
      </c>
      <c r="G86">
        <f t="shared" si="1"/>
        <v>0</v>
      </c>
    </row>
    <row r="87" spans="1:7" x14ac:dyDescent="0.3">
      <c r="A87">
        <v>86</v>
      </c>
      <c r="B87">
        <v>0</v>
      </c>
      <c r="C87">
        <v>50</v>
      </c>
      <c r="D87" t="s">
        <v>2</v>
      </c>
      <c r="E87" t="s">
        <v>1</v>
      </c>
      <c r="F87" t="s">
        <v>15</v>
      </c>
      <c r="G87">
        <f t="shared" si="1"/>
        <v>0</v>
      </c>
    </row>
    <row r="88" spans="1:7" x14ac:dyDescent="0.3">
      <c r="A88">
        <v>87</v>
      </c>
      <c r="B88">
        <v>0</v>
      </c>
      <c r="C88">
        <v>50</v>
      </c>
      <c r="D88" t="s">
        <v>2</v>
      </c>
      <c r="E88" t="s">
        <v>1</v>
      </c>
      <c r="F88" t="s">
        <v>16</v>
      </c>
      <c r="G88">
        <f t="shared" si="1"/>
        <v>0</v>
      </c>
    </row>
    <row r="89" spans="1:7" x14ac:dyDescent="0.3">
      <c r="A89">
        <v>88</v>
      </c>
      <c r="B89">
        <v>0</v>
      </c>
      <c r="C89">
        <v>50</v>
      </c>
      <c r="D89" t="s">
        <v>2</v>
      </c>
      <c r="E89" t="s">
        <v>4</v>
      </c>
      <c r="F89" t="s">
        <v>17</v>
      </c>
      <c r="G89">
        <f t="shared" si="1"/>
        <v>0</v>
      </c>
    </row>
    <row r="90" spans="1:7" x14ac:dyDescent="0.3">
      <c r="A90">
        <v>89</v>
      </c>
      <c r="B90">
        <v>0</v>
      </c>
      <c r="C90">
        <v>50</v>
      </c>
      <c r="D90" t="s">
        <v>2</v>
      </c>
      <c r="E90" t="s">
        <v>1</v>
      </c>
      <c r="F90" t="s">
        <v>17</v>
      </c>
      <c r="G90">
        <f t="shared" si="1"/>
        <v>0</v>
      </c>
    </row>
    <row r="91" spans="1:7" x14ac:dyDescent="0.3">
      <c r="A91">
        <v>90</v>
      </c>
      <c r="B91">
        <v>0</v>
      </c>
      <c r="C91">
        <v>50</v>
      </c>
      <c r="D91" t="s">
        <v>6</v>
      </c>
      <c r="E91" t="s">
        <v>5</v>
      </c>
      <c r="F91" t="s">
        <v>17</v>
      </c>
      <c r="G91">
        <f t="shared" si="1"/>
        <v>0</v>
      </c>
    </row>
    <row r="92" spans="1:7" x14ac:dyDescent="0.3">
      <c r="A92">
        <v>91</v>
      </c>
      <c r="B92">
        <v>1</v>
      </c>
      <c r="C92">
        <v>97</v>
      </c>
      <c r="D92" t="s">
        <v>2</v>
      </c>
      <c r="E92" t="s">
        <v>3</v>
      </c>
      <c r="F92" t="s">
        <v>16</v>
      </c>
      <c r="G92">
        <f t="shared" si="1"/>
        <v>97</v>
      </c>
    </row>
    <row r="93" spans="1:7" x14ac:dyDescent="0.3">
      <c r="A93">
        <v>92</v>
      </c>
      <c r="B93">
        <v>0</v>
      </c>
      <c r="C93">
        <v>50</v>
      </c>
      <c r="D93" t="s">
        <v>2</v>
      </c>
      <c r="E93" t="s">
        <v>4</v>
      </c>
      <c r="F93" t="s">
        <v>14</v>
      </c>
      <c r="G93">
        <f t="shared" si="1"/>
        <v>0</v>
      </c>
    </row>
    <row r="94" spans="1:7" x14ac:dyDescent="0.3">
      <c r="A94">
        <v>93</v>
      </c>
      <c r="B94">
        <v>1</v>
      </c>
      <c r="C94">
        <v>90</v>
      </c>
      <c r="D94" t="s">
        <v>2</v>
      </c>
      <c r="E94" t="s">
        <v>1</v>
      </c>
      <c r="F94" t="s">
        <v>15</v>
      </c>
      <c r="G94">
        <f t="shared" si="1"/>
        <v>90</v>
      </c>
    </row>
    <row r="95" spans="1:7" x14ac:dyDescent="0.3">
      <c r="A95">
        <v>94</v>
      </c>
      <c r="B95">
        <v>0</v>
      </c>
      <c r="C95">
        <v>50</v>
      </c>
      <c r="D95" t="s">
        <v>6</v>
      </c>
      <c r="E95" t="s">
        <v>12</v>
      </c>
      <c r="F95" t="s">
        <v>15</v>
      </c>
      <c r="G95">
        <f t="shared" si="1"/>
        <v>0</v>
      </c>
    </row>
    <row r="96" spans="1:7" x14ac:dyDescent="0.3">
      <c r="A96">
        <v>95</v>
      </c>
      <c r="B96">
        <v>0</v>
      </c>
      <c r="C96">
        <v>50</v>
      </c>
      <c r="D96" t="s">
        <v>2</v>
      </c>
      <c r="E96" t="s">
        <v>4</v>
      </c>
      <c r="F96" t="s">
        <v>16</v>
      </c>
      <c r="G96">
        <f t="shared" si="1"/>
        <v>0</v>
      </c>
    </row>
    <row r="97" spans="1:7" x14ac:dyDescent="0.3">
      <c r="A97">
        <v>96</v>
      </c>
      <c r="B97">
        <v>0</v>
      </c>
      <c r="C97">
        <v>50</v>
      </c>
      <c r="D97" t="s">
        <v>2</v>
      </c>
      <c r="E97" t="s">
        <v>5</v>
      </c>
      <c r="F97" t="s">
        <v>14</v>
      </c>
      <c r="G97">
        <f t="shared" si="1"/>
        <v>0</v>
      </c>
    </row>
    <row r="98" spans="1:7" x14ac:dyDescent="0.3">
      <c r="A98">
        <v>97</v>
      </c>
      <c r="B98">
        <v>1</v>
      </c>
      <c r="C98">
        <v>92</v>
      </c>
      <c r="D98" t="s">
        <v>2</v>
      </c>
      <c r="E98" t="s">
        <v>3</v>
      </c>
      <c r="F98" t="s">
        <v>16</v>
      </c>
      <c r="G98">
        <f t="shared" si="1"/>
        <v>92</v>
      </c>
    </row>
    <row r="99" spans="1:7" x14ac:dyDescent="0.3">
      <c r="A99">
        <v>98</v>
      </c>
      <c r="B99">
        <v>0</v>
      </c>
      <c r="C99">
        <v>50</v>
      </c>
      <c r="D99" t="s">
        <v>2</v>
      </c>
      <c r="E99" t="s">
        <v>3</v>
      </c>
      <c r="F99" t="s">
        <v>17</v>
      </c>
      <c r="G99">
        <f t="shared" si="1"/>
        <v>0</v>
      </c>
    </row>
    <row r="100" spans="1:7" x14ac:dyDescent="0.3">
      <c r="A100">
        <v>99</v>
      </c>
      <c r="B100">
        <v>0</v>
      </c>
      <c r="C100">
        <v>50</v>
      </c>
      <c r="D100" t="s">
        <v>6</v>
      </c>
      <c r="E100" t="s">
        <v>4</v>
      </c>
      <c r="F100" t="s">
        <v>14</v>
      </c>
      <c r="G100">
        <f t="shared" si="1"/>
        <v>0</v>
      </c>
    </row>
    <row r="101" spans="1:7" x14ac:dyDescent="0.3">
      <c r="A101">
        <v>100</v>
      </c>
      <c r="B101">
        <v>0</v>
      </c>
      <c r="C101">
        <v>50</v>
      </c>
      <c r="D101" t="s">
        <v>2</v>
      </c>
      <c r="E101" t="s">
        <v>4</v>
      </c>
      <c r="F101" t="s">
        <v>14</v>
      </c>
      <c r="G101">
        <f t="shared" si="1"/>
        <v>0</v>
      </c>
    </row>
    <row r="102" spans="1:7" x14ac:dyDescent="0.3">
      <c r="A102">
        <v>101</v>
      </c>
      <c r="B102">
        <v>0</v>
      </c>
      <c r="C102">
        <v>50</v>
      </c>
      <c r="D102" t="s">
        <v>2</v>
      </c>
      <c r="E102" t="s">
        <v>3</v>
      </c>
      <c r="F102" t="s">
        <v>17</v>
      </c>
      <c r="G102">
        <f t="shared" si="1"/>
        <v>0</v>
      </c>
    </row>
    <row r="103" spans="1:7" x14ac:dyDescent="0.3">
      <c r="A103">
        <v>102</v>
      </c>
      <c r="B103">
        <v>0</v>
      </c>
      <c r="C103">
        <v>50</v>
      </c>
      <c r="D103" t="s">
        <v>6</v>
      </c>
      <c r="E103" t="s">
        <v>4</v>
      </c>
      <c r="F103" t="s">
        <v>17</v>
      </c>
      <c r="G103">
        <f t="shared" si="1"/>
        <v>0</v>
      </c>
    </row>
    <row r="104" spans="1:7" x14ac:dyDescent="0.3">
      <c r="A104">
        <v>103</v>
      </c>
      <c r="B104">
        <v>1</v>
      </c>
      <c r="C104">
        <v>94</v>
      </c>
      <c r="D104" t="s">
        <v>2</v>
      </c>
      <c r="E104" t="s">
        <v>3</v>
      </c>
      <c r="F104" t="s">
        <v>17</v>
      </c>
      <c r="G104">
        <f t="shared" si="1"/>
        <v>94</v>
      </c>
    </row>
    <row r="105" spans="1:7" x14ac:dyDescent="0.3">
      <c r="A105">
        <v>104</v>
      </c>
      <c r="B105">
        <v>0</v>
      </c>
      <c r="C105">
        <v>50</v>
      </c>
      <c r="D105" t="s">
        <v>2</v>
      </c>
      <c r="E105" t="s">
        <v>3</v>
      </c>
      <c r="F105" t="s">
        <v>17</v>
      </c>
      <c r="G105">
        <f t="shared" si="1"/>
        <v>0</v>
      </c>
    </row>
    <row r="106" spans="1:7" x14ac:dyDescent="0.3">
      <c r="A106">
        <v>105</v>
      </c>
      <c r="B106">
        <v>1</v>
      </c>
      <c r="C106">
        <v>105</v>
      </c>
      <c r="D106" t="s">
        <v>2</v>
      </c>
      <c r="E106" t="s">
        <v>5</v>
      </c>
      <c r="F106" t="s">
        <v>17</v>
      </c>
      <c r="G106">
        <f t="shared" si="1"/>
        <v>105</v>
      </c>
    </row>
    <row r="107" spans="1:7" x14ac:dyDescent="0.3">
      <c r="A107">
        <v>106</v>
      </c>
      <c r="B107">
        <v>0</v>
      </c>
      <c r="C107">
        <v>50</v>
      </c>
      <c r="D107" t="s">
        <v>2</v>
      </c>
      <c r="E107" t="s">
        <v>4</v>
      </c>
      <c r="F107" t="s">
        <v>14</v>
      </c>
      <c r="G107">
        <f t="shared" si="1"/>
        <v>0</v>
      </c>
    </row>
    <row r="108" spans="1:7" x14ac:dyDescent="0.3">
      <c r="A108">
        <v>107</v>
      </c>
      <c r="B108">
        <v>0</v>
      </c>
      <c r="C108">
        <v>50</v>
      </c>
      <c r="D108" t="s">
        <v>2</v>
      </c>
      <c r="E108" t="s">
        <v>4</v>
      </c>
      <c r="F108" t="s">
        <v>17</v>
      </c>
      <c r="G108">
        <f t="shared" si="1"/>
        <v>0</v>
      </c>
    </row>
    <row r="109" spans="1:7" x14ac:dyDescent="0.3">
      <c r="A109">
        <v>108</v>
      </c>
      <c r="B109">
        <v>0</v>
      </c>
      <c r="C109">
        <v>50</v>
      </c>
      <c r="D109" t="s">
        <v>2</v>
      </c>
      <c r="E109" t="s">
        <v>1</v>
      </c>
      <c r="F109" t="s">
        <v>16</v>
      </c>
      <c r="G109">
        <f t="shared" si="1"/>
        <v>0</v>
      </c>
    </row>
    <row r="110" spans="1:7" x14ac:dyDescent="0.3">
      <c r="A110">
        <v>109</v>
      </c>
      <c r="B110">
        <v>0</v>
      </c>
      <c r="C110">
        <v>50</v>
      </c>
      <c r="D110" t="s">
        <v>2</v>
      </c>
      <c r="E110" t="s">
        <v>11</v>
      </c>
      <c r="F110" t="s">
        <v>16</v>
      </c>
      <c r="G110">
        <f t="shared" si="1"/>
        <v>0</v>
      </c>
    </row>
    <row r="111" spans="1:7" x14ac:dyDescent="0.3">
      <c r="A111">
        <v>110</v>
      </c>
      <c r="B111">
        <v>0</v>
      </c>
      <c r="C111">
        <v>50</v>
      </c>
      <c r="D111" t="s">
        <v>2</v>
      </c>
      <c r="E111" t="s">
        <v>13</v>
      </c>
      <c r="F111" t="s">
        <v>16</v>
      </c>
      <c r="G111">
        <f t="shared" si="1"/>
        <v>0</v>
      </c>
    </row>
    <row r="112" spans="1:7" x14ac:dyDescent="0.3">
      <c r="A112">
        <v>111</v>
      </c>
      <c r="B112">
        <v>0</v>
      </c>
      <c r="C112">
        <v>50</v>
      </c>
      <c r="D112" t="s">
        <v>2</v>
      </c>
      <c r="E112" t="s">
        <v>3</v>
      </c>
      <c r="F112" t="s">
        <v>14</v>
      </c>
      <c r="G112">
        <f t="shared" si="1"/>
        <v>0</v>
      </c>
    </row>
    <row r="113" spans="1:7" x14ac:dyDescent="0.3">
      <c r="A113">
        <v>112</v>
      </c>
      <c r="B113">
        <v>0</v>
      </c>
      <c r="C113">
        <v>50</v>
      </c>
      <c r="D113" t="s">
        <v>2</v>
      </c>
      <c r="E113" t="s">
        <v>4</v>
      </c>
      <c r="F113" t="s">
        <v>17</v>
      </c>
      <c r="G113">
        <f t="shared" si="1"/>
        <v>0</v>
      </c>
    </row>
    <row r="114" spans="1:7" x14ac:dyDescent="0.3">
      <c r="A114">
        <v>113</v>
      </c>
      <c r="B114">
        <v>1</v>
      </c>
      <c r="C114">
        <v>88</v>
      </c>
      <c r="D114" t="s">
        <v>2</v>
      </c>
      <c r="E114" t="s">
        <v>3</v>
      </c>
      <c r="F114" t="s">
        <v>16</v>
      </c>
      <c r="G114">
        <f t="shared" si="1"/>
        <v>88</v>
      </c>
    </row>
    <row r="115" spans="1:7" x14ac:dyDescent="0.3">
      <c r="A115">
        <v>114</v>
      </c>
      <c r="B115">
        <v>0</v>
      </c>
      <c r="C115">
        <v>50</v>
      </c>
      <c r="D115" t="s">
        <v>6</v>
      </c>
      <c r="E115" t="s">
        <v>12</v>
      </c>
      <c r="F115" t="s">
        <v>14</v>
      </c>
      <c r="G115">
        <f t="shared" si="1"/>
        <v>0</v>
      </c>
    </row>
    <row r="116" spans="1:7" x14ac:dyDescent="0.3">
      <c r="A116">
        <v>115</v>
      </c>
      <c r="B116">
        <v>0</v>
      </c>
      <c r="C116">
        <v>50</v>
      </c>
      <c r="D116" t="s">
        <v>6</v>
      </c>
      <c r="E116" t="s">
        <v>3</v>
      </c>
      <c r="F116" t="s">
        <v>15</v>
      </c>
      <c r="G116">
        <f t="shared" si="1"/>
        <v>0</v>
      </c>
    </row>
    <row r="117" spans="1:7" x14ac:dyDescent="0.3">
      <c r="A117">
        <v>116</v>
      </c>
      <c r="B117">
        <v>0</v>
      </c>
      <c r="C117">
        <v>50</v>
      </c>
      <c r="D117" t="s">
        <v>2</v>
      </c>
      <c r="E117" t="s">
        <v>12</v>
      </c>
      <c r="F117" t="s">
        <v>14</v>
      </c>
      <c r="G117">
        <f t="shared" si="1"/>
        <v>0</v>
      </c>
    </row>
    <row r="118" spans="1:7" x14ac:dyDescent="0.3">
      <c r="A118">
        <v>117</v>
      </c>
      <c r="B118">
        <v>0</v>
      </c>
      <c r="C118">
        <v>50</v>
      </c>
      <c r="D118" t="s">
        <v>2</v>
      </c>
      <c r="E118" t="s">
        <v>3</v>
      </c>
      <c r="F118" t="s">
        <v>15</v>
      </c>
      <c r="G118">
        <f t="shared" si="1"/>
        <v>0</v>
      </c>
    </row>
    <row r="119" spans="1:7" x14ac:dyDescent="0.3">
      <c r="A119">
        <v>118</v>
      </c>
      <c r="B119">
        <v>0</v>
      </c>
      <c r="C119">
        <v>50</v>
      </c>
      <c r="D119" t="s">
        <v>2</v>
      </c>
      <c r="E119" t="s">
        <v>3</v>
      </c>
      <c r="F119" t="s">
        <v>14</v>
      </c>
      <c r="G119">
        <f t="shared" si="1"/>
        <v>0</v>
      </c>
    </row>
    <row r="120" spans="1:7" x14ac:dyDescent="0.3">
      <c r="A120">
        <v>119</v>
      </c>
      <c r="B120">
        <v>0</v>
      </c>
      <c r="C120">
        <v>50</v>
      </c>
      <c r="D120" t="s">
        <v>2</v>
      </c>
      <c r="E120" t="s">
        <v>4</v>
      </c>
      <c r="F120" t="s">
        <v>17</v>
      </c>
      <c r="G120">
        <f t="shared" si="1"/>
        <v>0</v>
      </c>
    </row>
    <row r="121" spans="1:7" x14ac:dyDescent="0.3">
      <c r="A121">
        <v>120</v>
      </c>
      <c r="B121">
        <v>1</v>
      </c>
      <c r="C121">
        <v>73</v>
      </c>
      <c r="D121" t="s">
        <v>6</v>
      </c>
      <c r="E121" t="s">
        <v>41</v>
      </c>
      <c r="F121" t="s">
        <v>17</v>
      </c>
      <c r="G121">
        <f t="shared" si="1"/>
        <v>73</v>
      </c>
    </row>
  </sheetData>
  <autoFilter ref="A1:F121" xr:uid="{00000000-0009-0000-0000-000000000000}"/>
  <sortState xmlns:xlrd2="http://schemas.microsoft.com/office/spreadsheetml/2017/richdata2" ref="A2:F121">
    <sortCondition ref="B2:B121"/>
  </sortState>
  <pageMargins left="0.78740157499999996" right="0.78740157499999996" top="0.984251969" bottom="0.984251969" header="0.4921259845" footer="0.492125984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8EFB7-FBB1-4649-BF85-B61A91CEB098}">
  <dimension ref="A1:B7"/>
  <sheetViews>
    <sheetView workbookViewId="0">
      <selection activeCell="B13" sqref="B13"/>
    </sheetView>
  </sheetViews>
  <sheetFormatPr defaultColWidth="11.5546875" defaultRowHeight="16.3" x14ac:dyDescent="0.3"/>
  <cols>
    <col min="1" max="1" width="42.109375" customWidth="1"/>
    <col min="2" max="2" width="101.44140625" customWidth="1"/>
  </cols>
  <sheetData>
    <row r="1" spans="1:2" ht="25.85" x14ac:dyDescent="0.3">
      <c r="A1" s="2" t="s">
        <v>20</v>
      </c>
      <c r="B1" s="2" t="s">
        <v>21</v>
      </c>
    </row>
    <row r="2" spans="1:2" ht="25.85" x14ac:dyDescent="0.3">
      <c r="A2" s="3" t="s">
        <v>7</v>
      </c>
      <c r="B2" s="3" t="s">
        <v>22</v>
      </c>
    </row>
    <row r="3" spans="1:2" ht="25.85" x14ac:dyDescent="0.3">
      <c r="A3" s="3" t="s">
        <v>19</v>
      </c>
      <c r="B3" s="3" t="s">
        <v>23</v>
      </c>
    </row>
    <row r="4" spans="1:2" ht="25.85" x14ac:dyDescent="0.3">
      <c r="A4" s="3" t="s">
        <v>18</v>
      </c>
      <c r="B4" s="3" t="s">
        <v>24</v>
      </c>
    </row>
    <row r="5" spans="1:2" ht="25.85" x14ac:dyDescent="0.3">
      <c r="A5" s="3" t="s">
        <v>0</v>
      </c>
      <c r="B5" s="3" t="s">
        <v>25</v>
      </c>
    </row>
    <row r="6" spans="1:2" ht="25.85" x14ac:dyDescent="0.3">
      <c r="A6" s="3" t="s">
        <v>8</v>
      </c>
      <c r="B6" s="3" t="s">
        <v>26</v>
      </c>
    </row>
    <row r="7" spans="1:2" ht="25.85" x14ac:dyDescent="0.3">
      <c r="A7" s="3" t="s">
        <v>9</v>
      </c>
      <c r="B7" s="3" t="s">
        <v>27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68E01-9DA5-4E2A-9FA7-B1C54A9D5B3F}">
  <dimension ref="A1:AJ40"/>
  <sheetViews>
    <sheetView zoomScale="70" zoomScaleNormal="70" workbookViewId="0">
      <selection activeCell="A4" sqref="A4:C4"/>
      <pivotSelection pane="bottomRight" showHeader="1" extendable="1" axis="axisRow" max="3" activeRow="3" previousRow="3" click="1" r:id="rId2">
        <pivotArea dataOnly="0" fieldPosition="0">
          <references count="1">
            <reference field="1" count="1">
              <x v="0"/>
            </reference>
          </references>
        </pivotArea>
      </pivotSelection>
    </sheetView>
  </sheetViews>
  <sheetFormatPr defaultRowHeight="16.3" x14ac:dyDescent="0.3"/>
  <cols>
    <col min="1" max="1" width="18.5546875" bestFit="1" customWidth="1"/>
    <col min="2" max="2" width="8.21875" bestFit="1" customWidth="1"/>
    <col min="3" max="3" width="8" bestFit="1" customWidth="1"/>
    <col min="5" max="5" width="21.109375" bestFit="1" customWidth="1"/>
    <col min="6" max="6" width="11.109375" bestFit="1" customWidth="1"/>
    <col min="7" max="7" width="8" bestFit="1" customWidth="1"/>
    <col min="8" max="8" width="10" bestFit="1" customWidth="1"/>
    <col min="9" max="9" width="7.5546875" bestFit="1" customWidth="1"/>
    <col min="10" max="10" width="18.5546875" bestFit="1" customWidth="1"/>
    <col min="11" max="11" width="8.21875" bestFit="1" customWidth="1"/>
    <col min="12" max="12" width="8" bestFit="1" customWidth="1"/>
    <col min="13" max="13" width="2" customWidth="1"/>
    <col min="14" max="14" width="19" bestFit="1" customWidth="1"/>
    <col min="15" max="15" width="18.5546875" bestFit="1" customWidth="1"/>
    <col min="16" max="16" width="8.21875" bestFit="1" customWidth="1"/>
    <col min="17" max="17" width="8" bestFit="1" customWidth="1"/>
    <col min="18" max="18" width="10" bestFit="1" customWidth="1"/>
    <col min="21" max="21" width="18.5546875" bestFit="1" customWidth="1"/>
    <col min="22" max="22" width="9.44140625" bestFit="1" customWidth="1"/>
    <col min="23" max="25" width="8" bestFit="1" customWidth="1"/>
    <col min="26" max="26" width="18.5546875" bestFit="1" customWidth="1"/>
    <col min="27" max="27" width="7.77734375" bestFit="1" customWidth="1"/>
    <col min="28" max="28" width="3" bestFit="1" customWidth="1"/>
    <col min="29" max="29" width="10" bestFit="1" customWidth="1"/>
    <col min="30" max="30" width="8" bestFit="1" customWidth="1"/>
    <col min="31" max="31" width="12.88671875" bestFit="1" customWidth="1"/>
    <col min="32" max="32" width="12.33203125" bestFit="1" customWidth="1"/>
    <col min="35" max="35" width="17.88671875" bestFit="1" customWidth="1"/>
    <col min="36" max="36" width="18.33203125" bestFit="1" customWidth="1"/>
    <col min="37" max="37" width="12.44140625" bestFit="1" customWidth="1"/>
    <col min="38" max="38" width="14.21875" bestFit="1" customWidth="1"/>
    <col min="39" max="39" width="13.6640625" bestFit="1" customWidth="1"/>
    <col min="40" max="40" width="18.33203125" bestFit="1" customWidth="1"/>
    <col min="41" max="41" width="12.44140625" bestFit="1" customWidth="1"/>
    <col min="42" max="42" width="14.21875" bestFit="1" customWidth="1"/>
    <col min="43" max="43" width="13.6640625" bestFit="1" customWidth="1"/>
    <col min="44" max="44" width="12.88671875" bestFit="1" customWidth="1"/>
    <col min="45" max="45" width="12.33203125" bestFit="1" customWidth="1"/>
    <col min="46" max="47" width="20.33203125" bestFit="1" customWidth="1"/>
    <col min="48" max="48" width="23.109375" bestFit="1" customWidth="1"/>
    <col min="49" max="50" width="14.44140625" bestFit="1" customWidth="1"/>
    <col min="51" max="51" width="17.33203125" bestFit="1" customWidth="1"/>
    <col min="52" max="52" width="16.21875" bestFit="1" customWidth="1"/>
    <col min="53" max="53" width="19" bestFit="1" customWidth="1"/>
    <col min="54" max="55" width="15.6640625" bestFit="1" customWidth="1"/>
    <col min="56" max="56" width="18.44140625" bestFit="1" customWidth="1"/>
    <col min="57" max="57" width="12.88671875" bestFit="1" customWidth="1"/>
    <col min="58" max="58" width="12.33203125" bestFit="1" customWidth="1"/>
  </cols>
  <sheetData>
    <row r="1" spans="1:36" x14ac:dyDescent="0.3">
      <c r="E1" s="4" t="s">
        <v>19</v>
      </c>
      <c r="F1" s="5">
        <v>1</v>
      </c>
      <c r="J1" s="4" t="s">
        <v>19</v>
      </c>
      <c r="K1" s="5">
        <v>1</v>
      </c>
      <c r="O1" s="4" t="s">
        <v>19</v>
      </c>
      <c r="P1" s="5">
        <v>1</v>
      </c>
      <c r="AJ1" s="5"/>
    </row>
    <row r="2" spans="1:36" x14ac:dyDescent="0.3">
      <c r="O2" s="4" t="s">
        <v>0</v>
      </c>
      <c r="P2" t="s">
        <v>6</v>
      </c>
      <c r="U2" s="4" t="s">
        <v>19</v>
      </c>
      <c r="V2" t="s">
        <v>36</v>
      </c>
      <c r="Z2" s="4" t="s">
        <v>19</v>
      </c>
      <c r="AA2" s="5">
        <v>1</v>
      </c>
    </row>
    <row r="3" spans="1:36" x14ac:dyDescent="0.3">
      <c r="A3" s="4" t="s">
        <v>30</v>
      </c>
      <c r="B3" t="s">
        <v>32</v>
      </c>
      <c r="C3" t="s">
        <v>31</v>
      </c>
      <c r="E3" s="4" t="s">
        <v>34</v>
      </c>
      <c r="F3" t="s">
        <v>32</v>
      </c>
      <c r="G3" t="s">
        <v>31</v>
      </c>
      <c r="H3" t="s">
        <v>33</v>
      </c>
      <c r="J3" s="4" t="s">
        <v>35</v>
      </c>
      <c r="K3" t="s">
        <v>32</v>
      </c>
      <c r="L3" t="s">
        <v>31</v>
      </c>
    </row>
    <row r="4" spans="1:36" x14ac:dyDescent="0.3">
      <c r="A4" s="5">
        <v>0</v>
      </c>
      <c r="B4" s="6">
        <v>81</v>
      </c>
      <c r="C4" s="7">
        <v>0.67500000000000004</v>
      </c>
      <c r="E4" s="5">
        <v>73</v>
      </c>
      <c r="F4" s="6">
        <v>1</v>
      </c>
      <c r="G4" s="7">
        <v>2.564102564102564E-2</v>
      </c>
      <c r="H4" s="7">
        <v>2.564102564102564E-2</v>
      </c>
      <c r="J4" s="5" t="s">
        <v>6</v>
      </c>
      <c r="K4" s="6">
        <v>11</v>
      </c>
      <c r="L4" s="7">
        <v>0.28205128205128205</v>
      </c>
      <c r="O4" s="4" t="s">
        <v>34</v>
      </c>
      <c r="P4" t="s">
        <v>32</v>
      </c>
      <c r="Q4" t="s">
        <v>31</v>
      </c>
      <c r="R4" t="s">
        <v>33</v>
      </c>
      <c r="U4" s="4" t="s">
        <v>40</v>
      </c>
      <c r="V4" t="s">
        <v>31</v>
      </c>
      <c r="Z4" s="4" t="s">
        <v>32</v>
      </c>
      <c r="AA4" s="4" t="s">
        <v>35</v>
      </c>
    </row>
    <row r="5" spans="1:36" x14ac:dyDescent="0.3">
      <c r="A5" s="5">
        <v>1</v>
      </c>
      <c r="B5" s="6">
        <v>39</v>
      </c>
      <c r="C5" s="7">
        <v>0.32500000000000001</v>
      </c>
      <c r="E5" s="5">
        <v>74</v>
      </c>
      <c r="F5" s="6">
        <v>1</v>
      </c>
      <c r="G5" s="7">
        <v>2.564102564102564E-2</v>
      </c>
      <c r="H5" s="7">
        <v>5.128205128205128E-2</v>
      </c>
      <c r="J5" s="5" t="s">
        <v>2</v>
      </c>
      <c r="K5" s="6">
        <v>28</v>
      </c>
      <c r="L5" s="7">
        <v>0.71794871794871795</v>
      </c>
      <c r="O5" s="5">
        <v>73</v>
      </c>
      <c r="P5" s="6">
        <v>1</v>
      </c>
      <c r="Q5" s="7">
        <v>9.0909090909090912E-2</v>
      </c>
      <c r="R5" s="7">
        <v>9.0909090909090912E-2</v>
      </c>
      <c r="U5" s="5" t="s">
        <v>10</v>
      </c>
      <c r="V5" s="7">
        <v>8.3333333333333332E-3</v>
      </c>
      <c r="Z5" s="4" t="s">
        <v>40</v>
      </c>
      <c r="AA5" t="s">
        <v>6</v>
      </c>
      <c r="AB5" t="s">
        <v>2</v>
      </c>
      <c r="AC5" t="s">
        <v>29</v>
      </c>
    </row>
    <row r="6" spans="1:36" x14ac:dyDescent="0.3">
      <c r="A6" s="5" t="s">
        <v>29</v>
      </c>
      <c r="B6" s="6">
        <v>120</v>
      </c>
      <c r="C6" s="7">
        <v>1</v>
      </c>
      <c r="E6" s="5">
        <v>80</v>
      </c>
      <c r="F6" s="6">
        <v>1</v>
      </c>
      <c r="G6" s="7">
        <v>2.564102564102564E-2</v>
      </c>
      <c r="H6" s="7">
        <v>7.6923076923076927E-2</v>
      </c>
      <c r="J6" s="5" t="s">
        <v>29</v>
      </c>
      <c r="K6" s="6">
        <v>39</v>
      </c>
      <c r="L6" s="7">
        <v>1</v>
      </c>
      <c r="O6" s="5">
        <v>74</v>
      </c>
      <c r="P6" s="6">
        <v>1</v>
      </c>
      <c r="Q6" s="7">
        <v>9.0909090909090912E-2</v>
      </c>
      <c r="R6" s="7">
        <v>0.18181818181818182</v>
      </c>
      <c r="U6" s="5" t="s">
        <v>11</v>
      </c>
      <c r="V6" s="7">
        <v>4.1666666666666664E-2</v>
      </c>
      <c r="Z6" s="5" t="s">
        <v>11</v>
      </c>
      <c r="AA6" s="6">
        <v>2</v>
      </c>
      <c r="AB6" s="6"/>
      <c r="AC6" s="6">
        <v>2</v>
      </c>
    </row>
    <row r="7" spans="1:36" x14ac:dyDescent="0.3">
      <c r="E7" s="5">
        <v>82</v>
      </c>
      <c r="F7" s="6">
        <v>1</v>
      </c>
      <c r="G7" s="7">
        <v>2.564102564102564E-2</v>
      </c>
      <c r="H7" s="7">
        <v>0.10256410256410256</v>
      </c>
      <c r="O7" s="5">
        <v>80</v>
      </c>
      <c r="P7" s="6">
        <v>1</v>
      </c>
      <c r="Q7" s="7">
        <v>9.0909090909090912E-2</v>
      </c>
      <c r="R7" s="7">
        <v>0.27272727272727271</v>
      </c>
      <c r="U7" s="5" t="s">
        <v>12</v>
      </c>
      <c r="V7" s="7">
        <v>0.13333333333333333</v>
      </c>
      <c r="Z7" s="5" t="s">
        <v>12</v>
      </c>
      <c r="AA7" s="6">
        <v>4</v>
      </c>
      <c r="AB7" s="6"/>
      <c r="AC7" s="6">
        <v>4</v>
      </c>
    </row>
    <row r="8" spans="1:36" x14ac:dyDescent="0.3">
      <c r="E8" s="5">
        <v>84</v>
      </c>
      <c r="F8" s="6">
        <v>2</v>
      </c>
      <c r="G8" s="7">
        <v>5.128205128205128E-2</v>
      </c>
      <c r="H8" s="7">
        <v>0.15384615384615385</v>
      </c>
      <c r="O8" s="5">
        <v>82</v>
      </c>
      <c r="P8" s="6">
        <v>1</v>
      </c>
      <c r="Q8" s="7">
        <v>9.0909090909090912E-2</v>
      </c>
      <c r="R8" s="7">
        <v>0.36363636363636365</v>
      </c>
      <c r="U8" s="5" t="s">
        <v>1</v>
      </c>
      <c r="V8" s="7">
        <v>0.2</v>
      </c>
      <c r="Z8" s="5" t="s">
        <v>1</v>
      </c>
      <c r="AA8" s="6">
        <v>3</v>
      </c>
      <c r="AB8" s="6">
        <v>7</v>
      </c>
      <c r="AC8" s="6">
        <v>10</v>
      </c>
    </row>
    <row r="9" spans="1:36" x14ac:dyDescent="0.3">
      <c r="E9" s="5">
        <v>86</v>
      </c>
      <c r="F9" s="10">
        <v>4</v>
      </c>
      <c r="G9" s="9">
        <v>0.10256410256410256</v>
      </c>
      <c r="H9" s="7">
        <v>0.25641025641025639</v>
      </c>
      <c r="J9" s="4" t="s">
        <v>19</v>
      </c>
      <c r="K9" s="5">
        <v>0</v>
      </c>
      <c r="O9" s="5">
        <v>84</v>
      </c>
      <c r="P9" s="13">
        <v>2</v>
      </c>
      <c r="Q9" s="12">
        <v>0.18181818181818182</v>
      </c>
      <c r="R9" s="7">
        <v>0.54545454545454541</v>
      </c>
      <c r="U9" s="5" t="s">
        <v>3</v>
      </c>
      <c r="V9" s="7">
        <v>0.3</v>
      </c>
      <c r="Z9" s="5" t="s">
        <v>3</v>
      </c>
      <c r="AA9" s="6"/>
      <c r="AB9" s="6">
        <v>16</v>
      </c>
      <c r="AC9" s="6">
        <v>16</v>
      </c>
    </row>
    <row r="10" spans="1:36" x14ac:dyDescent="0.3">
      <c r="E10" s="5">
        <v>87</v>
      </c>
      <c r="F10" s="10">
        <v>1</v>
      </c>
      <c r="G10" s="9">
        <v>2.564102564102564E-2</v>
      </c>
      <c r="H10" s="7">
        <v>0.28205128205128205</v>
      </c>
      <c r="O10" s="5">
        <v>86</v>
      </c>
      <c r="P10" s="13">
        <v>4</v>
      </c>
      <c r="Q10" s="12">
        <v>0.36363636363636365</v>
      </c>
      <c r="R10" s="7">
        <v>0.90909090909090906</v>
      </c>
      <c r="U10" s="5" t="s">
        <v>4</v>
      </c>
      <c r="V10" s="7">
        <v>0.15</v>
      </c>
      <c r="Z10" s="5" t="s">
        <v>5</v>
      </c>
      <c r="AA10" s="6"/>
      <c r="AB10" s="6">
        <v>4</v>
      </c>
      <c r="AC10" s="6">
        <v>4</v>
      </c>
    </row>
    <row r="11" spans="1:36" x14ac:dyDescent="0.3">
      <c r="E11" s="5">
        <v>88</v>
      </c>
      <c r="F11" s="10">
        <v>3</v>
      </c>
      <c r="G11" s="9">
        <v>7.6923076923076927E-2</v>
      </c>
      <c r="H11" s="7">
        <v>0.35897435897435898</v>
      </c>
      <c r="J11" s="4" t="s">
        <v>35</v>
      </c>
      <c r="K11" t="s">
        <v>32</v>
      </c>
      <c r="L11" t="s">
        <v>31</v>
      </c>
      <c r="O11" s="5">
        <v>87</v>
      </c>
      <c r="P11" s="13">
        <v>1</v>
      </c>
      <c r="Q11" s="12">
        <v>9.0909090909090912E-2</v>
      </c>
      <c r="R11" s="7">
        <v>1</v>
      </c>
      <c r="U11" s="5" t="s">
        <v>5</v>
      </c>
      <c r="V11" s="7">
        <v>0.11666666666666667</v>
      </c>
      <c r="Z11" s="5" t="s">
        <v>13</v>
      </c>
      <c r="AA11" s="6"/>
      <c r="AB11" s="6">
        <v>1</v>
      </c>
      <c r="AC11" s="6">
        <v>1</v>
      </c>
    </row>
    <row r="12" spans="1:36" x14ac:dyDescent="0.3">
      <c r="E12" s="5">
        <v>89</v>
      </c>
      <c r="F12" s="10">
        <v>3</v>
      </c>
      <c r="G12" s="9">
        <v>7.6923076923076927E-2</v>
      </c>
      <c r="H12" s="7">
        <v>0.4358974358974359</v>
      </c>
      <c r="J12" s="5" t="s">
        <v>6</v>
      </c>
      <c r="K12" s="6">
        <v>21</v>
      </c>
      <c r="L12" s="7">
        <v>0.25925925925925924</v>
      </c>
      <c r="O12" s="5" t="s">
        <v>29</v>
      </c>
      <c r="P12" s="6">
        <v>11</v>
      </c>
      <c r="Q12" s="7">
        <v>1</v>
      </c>
      <c r="R12" s="7"/>
      <c r="U12" s="5" t="s">
        <v>13</v>
      </c>
      <c r="V12" s="7">
        <v>3.3333333333333333E-2</v>
      </c>
      <c r="Z12" s="5" t="s">
        <v>41</v>
      </c>
      <c r="AA12" s="6">
        <v>2</v>
      </c>
      <c r="AB12" s="6"/>
      <c r="AC12" s="6">
        <v>2</v>
      </c>
    </row>
    <row r="13" spans="1:36" x14ac:dyDescent="0.3">
      <c r="E13" s="11">
        <v>90</v>
      </c>
      <c r="F13" s="10">
        <v>3</v>
      </c>
      <c r="G13" s="9">
        <v>7.6923076923076927E-2</v>
      </c>
      <c r="H13" s="8">
        <v>0.51282051282051277</v>
      </c>
      <c r="J13" s="5" t="s">
        <v>2</v>
      </c>
      <c r="K13" s="6">
        <v>60</v>
      </c>
      <c r="L13" s="7">
        <v>0.7407407407407407</v>
      </c>
      <c r="U13" s="5" t="s">
        <v>41</v>
      </c>
      <c r="V13" s="7">
        <v>1.6666666666666666E-2</v>
      </c>
      <c r="Z13" s="5" t="s">
        <v>29</v>
      </c>
      <c r="AA13" s="6">
        <v>11</v>
      </c>
      <c r="AB13" s="6">
        <v>28</v>
      </c>
      <c r="AC13" s="6">
        <v>39</v>
      </c>
    </row>
    <row r="14" spans="1:36" x14ac:dyDescent="0.3">
      <c r="E14" s="5">
        <v>91</v>
      </c>
      <c r="F14" s="10">
        <v>2</v>
      </c>
      <c r="G14" s="9">
        <v>5.128205128205128E-2</v>
      </c>
      <c r="H14" s="7">
        <v>0.5641025641025641</v>
      </c>
      <c r="J14" s="5" t="s">
        <v>29</v>
      </c>
      <c r="K14" s="6">
        <v>81</v>
      </c>
      <c r="L14" s="7">
        <v>1</v>
      </c>
      <c r="P14" s="14">
        <f>SUM(P9:P11)</f>
        <v>7</v>
      </c>
      <c r="Q14" s="12">
        <f>SUM(Q9:Q11)</f>
        <v>0.63636363636363635</v>
      </c>
      <c r="U14" s="5" t="s">
        <v>29</v>
      </c>
      <c r="V14" s="7">
        <v>1</v>
      </c>
    </row>
    <row r="15" spans="1:36" x14ac:dyDescent="0.3">
      <c r="E15" s="5">
        <v>92</v>
      </c>
      <c r="F15" s="10">
        <v>2</v>
      </c>
      <c r="G15" s="9">
        <v>5.128205128205128E-2</v>
      </c>
      <c r="H15" s="7">
        <v>0.61538461538461542</v>
      </c>
    </row>
    <row r="16" spans="1:36" x14ac:dyDescent="0.3">
      <c r="E16" s="5">
        <v>94</v>
      </c>
      <c r="F16" s="10">
        <v>3</v>
      </c>
      <c r="G16" s="9">
        <v>7.6923076923076927E-2</v>
      </c>
      <c r="H16" s="7">
        <v>0.69230769230769229</v>
      </c>
    </row>
    <row r="17" spans="5:18" x14ac:dyDescent="0.3">
      <c r="E17" s="5">
        <v>95</v>
      </c>
      <c r="F17" s="10">
        <v>1</v>
      </c>
      <c r="G17" s="9">
        <v>2.564102564102564E-2</v>
      </c>
      <c r="H17" s="7">
        <v>0.71794871794871795</v>
      </c>
      <c r="J17" s="4" t="s">
        <v>19</v>
      </c>
      <c r="K17" t="s">
        <v>36</v>
      </c>
    </row>
    <row r="18" spans="5:18" x14ac:dyDescent="0.3">
      <c r="E18" s="5">
        <v>96</v>
      </c>
      <c r="F18" s="10">
        <v>1</v>
      </c>
      <c r="G18" s="9">
        <v>2.564102564102564E-2</v>
      </c>
      <c r="H18" s="7">
        <v>0.74358974358974361</v>
      </c>
    </row>
    <row r="19" spans="5:18" x14ac:dyDescent="0.3">
      <c r="E19" s="5">
        <v>97</v>
      </c>
      <c r="F19" s="10">
        <v>2</v>
      </c>
      <c r="G19" s="9">
        <v>5.128205128205128E-2</v>
      </c>
      <c r="H19" s="7">
        <v>0.79487179487179482</v>
      </c>
      <c r="J19" s="4" t="s">
        <v>35</v>
      </c>
      <c r="K19" t="s">
        <v>32</v>
      </c>
      <c r="L19" t="s">
        <v>31</v>
      </c>
    </row>
    <row r="20" spans="5:18" x14ac:dyDescent="0.3">
      <c r="E20" s="11">
        <v>98</v>
      </c>
      <c r="F20" s="10">
        <v>1</v>
      </c>
      <c r="G20" s="9">
        <v>2.564102564102564E-2</v>
      </c>
      <c r="H20" s="8">
        <v>0.82051282051282048</v>
      </c>
      <c r="J20" s="5" t="s">
        <v>6</v>
      </c>
      <c r="K20" s="6">
        <v>32</v>
      </c>
      <c r="L20" s="7">
        <v>0.26666666666666666</v>
      </c>
    </row>
    <row r="21" spans="5:18" x14ac:dyDescent="0.3">
      <c r="E21" s="5">
        <v>99</v>
      </c>
      <c r="F21" s="10">
        <v>2</v>
      </c>
      <c r="G21" s="9">
        <v>5.128205128205128E-2</v>
      </c>
      <c r="H21" s="7">
        <v>0.87179487179487181</v>
      </c>
      <c r="J21" s="5" t="s">
        <v>2</v>
      </c>
      <c r="K21" s="6">
        <v>88</v>
      </c>
      <c r="L21" s="7">
        <v>0.73333333333333328</v>
      </c>
    </row>
    <row r="22" spans="5:18" x14ac:dyDescent="0.3">
      <c r="E22" s="5">
        <v>103</v>
      </c>
      <c r="F22" s="10">
        <v>1</v>
      </c>
      <c r="G22" s="9">
        <v>2.564102564102564E-2</v>
      </c>
      <c r="H22" s="7">
        <v>0.89743589743589747</v>
      </c>
      <c r="J22" s="5" t="s">
        <v>29</v>
      </c>
      <c r="K22" s="6">
        <v>120</v>
      </c>
      <c r="L22" s="7">
        <v>1</v>
      </c>
    </row>
    <row r="23" spans="5:18" x14ac:dyDescent="0.3">
      <c r="E23" s="5">
        <v>105</v>
      </c>
      <c r="F23" s="10">
        <v>2</v>
      </c>
      <c r="G23" s="9">
        <v>5.128205128205128E-2</v>
      </c>
      <c r="H23" s="7">
        <v>0.94871794871794868</v>
      </c>
    </row>
    <row r="24" spans="5:18" x14ac:dyDescent="0.3">
      <c r="E24" s="5">
        <v>106</v>
      </c>
      <c r="F24" s="10">
        <v>1</v>
      </c>
      <c r="G24" s="9">
        <v>2.564102564102564E-2</v>
      </c>
      <c r="H24" s="7">
        <v>0.97435897435897434</v>
      </c>
      <c r="O24" s="4" t="s">
        <v>19</v>
      </c>
      <c r="P24" s="5">
        <v>1</v>
      </c>
    </row>
    <row r="25" spans="5:18" x14ac:dyDescent="0.3">
      <c r="E25" s="5">
        <v>110</v>
      </c>
      <c r="F25" s="10">
        <v>1</v>
      </c>
      <c r="G25" s="9">
        <v>2.564102564102564E-2</v>
      </c>
      <c r="H25" s="7">
        <v>1</v>
      </c>
      <c r="O25" s="4" t="s">
        <v>0</v>
      </c>
      <c r="P25" t="s">
        <v>6</v>
      </c>
    </row>
    <row r="26" spans="5:18" x14ac:dyDescent="0.3">
      <c r="E26" s="5" t="s">
        <v>29</v>
      </c>
      <c r="F26" s="6">
        <v>39</v>
      </c>
      <c r="G26" s="7">
        <v>1</v>
      </c>
      <c r="H26" s="7"/>
    </row>
    <row r="27" spans="5:18" x14ac:dyDescent="0.3">
      <c r="O27" s="4" t="s">
        <v>34</v>
      </c>
      <c r="P27" t="s">
        <v>32</v>
      </c>
      <c r="Q27" t="s">
        <v>31</v>
      </c>
      <c r="R27" t="s">
        <v>33</v>
      </c>
    </row>
    <row r="28" spans="5:18" x14ac:dyDescent="0.3">
      <c r="F28" s="10">
        <f>SUM(F9:F25)</f>
        <v>33</v>
      </c>
      <c r="G28" s="9">
        <f>SUM(G9:G25)</f>
        <v>0.84615384615384637</v>
      </c>
      <c r="O28" s="5">
        <v>73</v>
      </c>
      <c r="P28" s="6">
        <v>1</v>
      </c>
      <c r="Q28" s="7">
        <v>9.0909090909090912E-2</v>
      </c>
      <c r="R28" s="7">
        <v>9.0909090909090912E-2</v>
      </c>
    </row>
    <row r="29" spans="5:18" x14ac:dyDescent="0.3">
      <c r="O29" s="5">
        <v>74</v>
      </c>
      <c r="P29" s="6">
        <v>1</v>
      </c>
      <c r="Q29" s="7">
        <v>9.0909090909090912E-2</v>
      </c>
      <c r="R29" s="7">
        <v>0.18181818181818182</v>
      </c>
    </row>
    <row r="30" spans="5:18" x14ac:dyDescent="0.3">
      <c r="O30" s="5">
        <v>80</v>
      </c>
      <c r="P30" s="6">
        <v>1</v>
      </c>
      <c r="Q30" s="7">
        <v>9.0909090909090912E-2</v>
      </c>
      <c r="R30" s="7">
        <v>0.27272727272727271</v>
      </c>
    </row>
    <row r="31" spans="5:18" x14ac:dyDescent="0.3">
      <c r="O31" s="5">
        <v>82</v>
      </c>
      <c r="P31" s="6">
        <v>1</v>
      </c>
      <c r="Q31" s="7">
        <v>9.0909090909090912E-2</v>
      </c>
      <c r="R31" s="7">
        <v>0.36363636363636365</v>
      </c>
    </row>
    <row r="32" spans="5:18" x14ac:dyDescent="0.3">
      <c r="O32" s="5">
        <v>84</v>
      </c>
      <c r="P32" s="13">
        <v>2</v>
      </c>
      <c r="Q32" s="12">
        <v>0.18181818181818182</v>
      </c>
      <c r="R32" s="7">
        <v>0.54545454545454541</v>
      </c>
    </row>
    <row r="33" spans="5:18" x14ac:dyDescent="0.3">
      <c r="O33" s="5">
        <v>86</v>
      </c>
      <c r="P33" s="13">
        <v>4</v>
      </c>
      <c r="Q33" s="12">
        <v>0.36363636363636365</v>
      </c>
      <c r="R33" s="7">
        <v>0.90909090909090906</v>
      </c>
    </row>
    <row r="34" spans="5:18" x14ac:dyDescent="0.3">
      <c r="E34" s="4" t="s">
        <v>39</v>
      </c>
      <c r="F34" s="4" t="s">
        <v>37</v>
      </c>
      <c r="O34" s="5">
        <v>87</v>
      </c>
      <c r="P34" s="13">
        <v>1</v>
      </c>
      <c r="Q34" s="12">
        <v>9.0909090909090912E-2</v>
      </c>
      <c r="R34" s="7">
        <v>1</v>
      </c>
    </row>
    <row r="35" spans="5:18" x14ac:dyDescent="0.3">
      <c r="E35" s="4" t="s">
        <v>38</v>
      </c>
      <c r="F35">
        <v>1</v>
      </c>
      <c r="G35">
        <v>0</v>
      </c>
      <c r="H35" t="s">
        <v>29</v>
      </c>
      <c r="I35" s="17" t="s">
        <v>31</v>
      </c>
      <c r="O35" s="5" t="s">
        <v>29</v>
      </c>
      <c r="P35" s="6">
        <v>11</v>
      </c>
      <c r="Q35" s="7">
        <v>1</v>
      </c>
      <c r="R35" s="7"/>
    </row>
    <row r="36" spans="5:18" x14ac:dyDescent="0.3">
      <c r="E36" s="5" t="s">
        <v>14</v>
      </c>
      <c r="F36" s="6">
        <v>8</v>
      </c>
      <c r="G36" s="6">
        <v>23</v>
      </c>
      <c r="H36" s="6">
        <v>31</v>
      </c>
      <c r="I36" s="16">
        <f>H36/$H$40</f>
        <v>0.25833333333333336</v>
      </c>
    </row>
    <row r="37" spans="5:18" x14ac:dyDescent="0.3">
      <c r="E37" s="5" t="s">
        <v>15</v>
      </c>
      <c r="F37" s="6">
        <v>10</v>
      </c>
      <c r="G37" s="6">
        <v>17</v>
      </c>
      <c r="H37" s="6">
        <v>27</v>
      </c>
      <c r="I37" s="16">
        <f t="shared" ref="I37:I39" si="0">H37/$H$40</f>
        <v>0.22500000000000001</v>
      </c>
      <c r="P37" s="14">
        <f>SUM(P32:P34)</f>
        <v>7</v>
      </c>
      <c r="Q37" s="12">
        <f>SUM(Q32:Q34)</f>
        <v>0.63636363636363635</v>
      </c>
    </row>
    <row r="38" spans="5:18" x14ac:dyDescent="0.3">
      <c r="E38" s="5" t="s">
        <v>16</v>
      </c>
      <c r="F38" s="6">
        <v>8</v>
      </c>
      <c r="G38" s="6">
        <v>19</v>
      </c>
      <c r="H38" s="6">
        <v>27</v>
      </c>
      <c r="I38" s="16">
        <f t="shared" si="0"/>
        <v>0.22500000000000001</v>
      </c>
    </row>
    <row r="39" spans="5:18" x14ac:dyDescent="0.3">
      <c r="E39" s="5" t="s">
        <v>17</v>
      </c>
      <c r="F39" s="6">
        <v>13</v>
      </c>
      <c r="G39" s="6">
        <v>22</v>
      </c>
      <c r="H39" s="6">
        <v>35</v>
      </c>
      <c r="I39" s="16">
        <f t="shared" si="0"/>
        <v>0.29166666666666669</v>
      </c>
    </row>
    <row r="40" spans="5:18" x14ac:dyDescent="0.3">
      <c r="E40" s="5" t="s">
        <v>29</v>
      </c>
      <c r="F40" s="6">
        <v>39</v>
      </c>
      <c r="G40" s="6">
        <v>81</v>
      </c>
      <c r="H40" s="6">
        <v>120</v>
      </c>
    </row>
  </sheetData>
  <pageMargins left="0.511811024" right="0.511811024" top="0.78740157499999996" bottom="0.78740157499999996" header="0.31496062000000002" footer="0.31496062000000002"/>
  <pageSetup paperSize="9" orientation="portrait"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C47F-A6EB-424C-9A89-87DF0DE07E12}">
  <dimension ref="F2:T52"/>
  <sheetViews>
    <sheetView workbookViewId="0">
      <selection activeCell="F26" sqref="F26"/>
    </sheetView>
  </sheetViews>
  <sheetFormatPr defaultRowHeight="16.3" x14ac:dyDescent="0.3"/>
  <cols>
    <col min="6" max="6" width="17" bestFit="1" customWidth="1"/>
    <col min="7" max="8" width="12" bestFit="1" customWidth="1"/>
    <col min="10" max="10" width="17.33203125" bestFit="1" customWidth="1"/>
    <col min="11" max="12" width="12" bestFit="1" customWidth="1"/>
    <col min="14" max="14" width="17.33203125" bestFit="1" customWidth="1"/>
    <col min="15" max="16" width="12" bestFit="1" customWidth="1"/>
    <col min="18" max="18" width="17.33203125" bestFit="1" customWidth="1"/>
    <col min="19" max="19" width="12.6640625" bestFit="1" customWidth="1"/>
  </cols>
  <sheetData>
    <row r="2" spans="6:20" x14ac:dyDescent="0.3">
      <c r="F2" s="4" t="s">
        <v>19</v>
      </c>
      <c r="G2" s="5">
        <v>1</v>
      </c>
      <c r="J2" s="4" t="s">
        <v>19</v>
      </c>
      <c r="K2" s="5">
        <v>1</v>
      </c>
      <c r="N2" s="4" t="s">
        <v>19</v>
      </c>
      <c r="O2" s="5">
        <v>1</v>
      </c>
      <c r="R2" s="4" t="s">
        <v>19</v>
      </c>
      <c r="S2" s="5">
        <v>1</v>
      </c>
    </row>
    <row r="3" spans="6:20" x14ac:dyDescent="0.3">
      <c r="F3" s="4" t="s">
        <v>0</v>
      </c>
      <c r="G3" t="s">
        <v>36</v>
      </c>
      <c r="J3" s="4" t="s">
        <v>0</v>
      </c>
      <c r="K3" t="s">
        <v>6</v>
      </c>
      <c r="N3" s="4" t="s">
        <v>0</v>
      </c>
      <c r="O3" t="s">
        <v>6</v>
      </c>
      <c r="R3" s="4" t="s">
        <v>0</v>
      </c>
      <c r="S3" t="s">
        <v>2</v>
      </c>
    </row>
    <row r="5" spans="6:20" x14ac:dyDescent="0.3">
      <c r="F5" s="4" t="s">
        <v>28</v>
      </c>
      <c r="G5" t="s">
        <v>50</v>
      </c>
      <c r="H5" t="s">
        <v>51</v>
      </c>
      <c r="J5" s="4" t="s">
        <v>28</v>
      </c>
      <c r="K5" t="s">
        <v>50</v>
      </c>
      <c r="L5" t="s">
        <v>51</v>
      </c>
      <c r="N5" s="4" t="s">
        <v>28</v>
      </c>
      <c r="O5" t="s">
        <v>50</v>
      </c>
      <c r="P5" t="s">
        <v>51</v>
      </c>
      <c r="R5" s="4" t="s">
        <v>28</v>
      </c>
      <c r="S5" t="s">
        <v>50</v>
      </c>
      <c r="T5" t="s">
        <v>51</v>
      </c>
    </row>
    <row r="6" spans="6:20" x14ac:dyDescent="0.3">
      <c r="F6" s="5" t="s">
        <v>41</v>
      </c>
      <c r="G6" s="6">
        <v>73.5</v>
      </c>
      <c r="H6" s="15">
        <v>0.5</v>
      </c>
      <c r="J6" s="5" t="s">
        <v>41</v>
      </c>
      <c r="K6" s="6">
        <v>73.5</v>
      </c>
      <c r="L6" s="15">
        <v>0.5</v>
      </c>
      <c r="N6" s="5" t="s">
        <v>12</v>
      </c>
      <c r="O6" s="6">
        <v>85</v>
      </c>
      <c r="P6" s="15">
        <v>1.3333333333333333</v>
      </c>
      <c r="R6" s="5" t="s">
        <v>1</v>
      </c>
      <c r="S6" s="6">
        <v>89.571428571428569</v>
      </c>
      <c r="T6" s="15">
        <v>0.95238095238043263</v>
      </c>
    </row>
    <row r="7" spans="6:20" x14ac:dyDescent="0.3">
      <c r="F7" s="5" t="s">
        <v>11</v>
      </c>
      <c r="G7" s="6">
        <v>81</v>
      </c>
      <c r="H7" s="15">
        <v>2</v>
      </c>
      <c r="J7" s="5" t="s">
        <v>11</v>
      </c>
      <c r="K7" s="6">
        <v>81</v>
      </c>
      <c r="L7" s="15">
        <v>2</v>
      </c>
      <c r="N7" s="5" t="s">
        <v>1</v>
      </c>
      <c r="O7" s="6">
        <v>86.333333333333329</v>
      </c>
      <c r="P7" s="15">
        <v>0.33333333333393966</v>
      </c>
      <c r="R7" s="5" t="s">
        <v>3</v>
      </c>
      <c r="S7" s="6">
        <v>93.9375</v>
      </c>
      <c r="T7" s="15">
        <v>13.529166666666667</v>
      </c>
    </row>
    <row r="8" spans="6:20" x14ac:dyDescent="0.3">
      <c r="F8" s="5" t="s">
        <v>12</v>
      </c>
      <c r="G8" s="6">
        <v>85</v>
      </c>
      <c r="H8" s="15">
        <v>1.3333333333333333</v>
      </c>
      <c r="J8" s="5" t="s">
        <v>12</v>
      </c>
      <c r="K8" s="6">
        <v>85</v>
      </c>
      <c r="L8" s="15">
        <v>1.3333333333333333</v>
      </c>
      <c r="N8" s="5" t="s">
        <v>29</v>
      </c>
      <c r="O8" s="6">
        <v>85.571428571428569</v>
      </c>
      <c r="P8" s="6">
        <v>1.285714285713766</v>
      </c>
      <c r="R8" s="5" t="s">
        <v>5</v>
      </c>
      <c r="S8" s="6">
        <v>104.75</v>
      </c>
      <c r="T8" s="15">
        <v>1.5833333333333333</v>
      </c>
    </row>
    <row r="9" spans="6:20" x14ac:dyDescent="0.3">
      <c r="F9" s="5" t="s">
        <v>1</v>
      </c>
      <c r="G9" s="6">
        <v>88.6</v>
      </c>
      <c r="H9" s="15">
        <v>3.1555555555549089</v>
      </c>
      <c r="J9" s="5" t="s">
        <v>1</v>
      </c>
      <c r="K9" s="6">
        <v>86.333333333333329</v>
      </c>
      <c r="L9" s="15">
        <v>0.33333333333393966</v>
      </c>
      <c r="R9" s="5" t="s">
        <v>13</v>
      </c>
      <c r="S9" s="6">
        <v>110</v>
      </c>
      <c r="T9" s="15" t="e">
        <v>#DIV/0!</v>
      </c>
    </row>
    <row r="10" spans="6:20" x14ac:dyDescent="0.3">
      <c r="F10" s="5" t="s">
        <v>3</v>
      </c>
      <c r="G10" s="6">
        <v>93.9375</v>
      </c>
      <c r="H10" s="15">
        <v>13.529166666666667</v>
      </c>
      <c r="J10" s="5" t="s">
        <v>29</v>
      </c>
      <c r="K10" s="6">
        <v>82.545454545454547</v>
      </c>
      <c r="L10" s="6">
        <v>24.272727272727934</v>
      </c>
      <c r="N10" s="5" t="s">
        <v>43</v>
      </c>
      <c r="O10" s="6">
        <v>7</v>
      </c>
      <c r="R10" s="5" t="s">
        <v>29</v>
      </c>
      <c r="S10" s="6">
        <v>94.964285714285708</v>
      </c>
      <c r="T10" s="6">
        <v>38.628306878307029</v>
      </c>
    </row>
    <row r="11" spans="6:20" x14ac:dyDescent="0.3">
      <c r="F11" s="5" t="s">
        <v>5</v>
      </c>
      <c r="G11" s="6">
        <v>104.75</v>
      </c>
      <c r="H11" s="15">
        <v>1.5833333333333333</v>
      </c>
      <c r="N11" s="5" t="s">
        <v>48</v>
      </c>
      <c r="O11" s="18">
        <f>O8</f>
        <v>85.571428571428569</v>
      </c>
    </row>
    <row r="12" spans="6:20" x14ac:dyDescent="0.3">
      <c r="F12" s="5" t="s">
        <v>13</v>
      </c>
      <c r="G12" s="6">
        <v>110</v>
      </c>
      <c r="H12" s="15" t="e">
        <v>#DIV/0!</v>
      </c>
      <c r="N12" s="5" t="s">
        <v>49</v>
      </c>
      <c r="O12" s="19">
        <f>P8</f>
        <v>1.285714285713766</v>
      </c>
    </row>
    <row r="13" spans="6:20" x14ac:dyDescent="0.3">
      <c r="F13" s="5" t="s">
        <v>29</v>
      </c>
      <c r="G13" s="6">
        <v>91.461538461538467</v>
      </c>
      <c r="H13" s="6">
        <v>65.886639676113475</v>
      </c>
      <c r="J13" s="5" t="s">
        <v>43</v>
      </c>
      <c r="K13" s="6">
        <v>11</v>
      </c>
      <c r="N13" s="5" t="s">
        <v>52</v>
      </c>
      <c r="O13" s="6">
        <f>ABS(_xlfn.T.INV(0.025,38))</f>
        <v>2.0243941639119702</v>
      </c>
      <c r="R13" s="5" t="s">
        <v>43</v>
      </c>
      <c r="S13" s="6">
        <v>28</v>
      </c>
    </row>
    <row r="14" spans="6:20" x14ac:dyDescent="0.3">
      <c r="J14" s="5" t="s">
        <v>48</v>
      </c>
      <c r="K14" s="18">
        <f>K10</f>
        <v>82.545454545454547</v>
      </c>
      <c r="N14" s="5" t="s">
        <v>47</v>
      </c>
      <c r="O14" s="6">
        <f>_xlfn.NORM.S.INV(0.05/2)</f>
        <v>-1.9599639845400538</v>
      </c>
      <c r="R14" s="5" t="s">
        <v>48</v>
      </c>
      <c r="S14" s="18">
        <f>S10</f>
        <v>94.964285714285708</v>
      </c>
    </row>
    <row r="15" spans="6:20" x14ac:dyDescent="0.3">
      <c r="J15" s="5" t="s">
        <v>49</v>
      </c>
      <c r="K15" s="19">
        <f>L10</f>
        <v>24.272727272727934</v>
      </c>
      <c r="N15" s="5"/>
      <c r="O15" s="6"/>
      <c r="R15" s="5" t="s">
        <v>49</v>
      </c>
      <c r="S15" s="19">
        <f>T10</f>
        <v>38.628306878307029</v>
      </c>
    </row>
    <row r="16" spans="6:20" x14ac:dyDescent="0.3">
      <c r="F16" s="5" t="s">
        <v>43</v>
      </c>
      <c r="G16" s="6">
        <v>120</v>
      </c>
      <c r="J16" s="5" t="s">
        <v>52</v>
      </c>
      <c r="K16" s="6">
        <f>ABS(_xlfn.T.INV(0.025,38))</f>
        <v>2.0243941639119702</v>
      </c>
      <c r="N16" s="5" t="s">
        <v>44</v>
      </c>
      <c r="O16" s="20">
        <f>O11-O13*SQRT(O12/O10)</f>
        <v>84.703831072609333</v>
      </c>
      <c r="R16" s="5" t="s">
        <v>52</v>
      </c>
      <c r="S16" s="6">
        <f>ABS(_xlfn.T.INV(0.025,38))</f>
        <v>2.0243941639119702</v>
      </c>
    </row>
    <row r="17" spans="6:19" x14ac:dyDescent="0.3">
      <c r="F17" s="5" t="s">
        <v>48</v>
      </c>
      <c r="G17" s="18">
        <f>G13</f>
        <v>91.461538461538467</v>
      </c>
      <c r="J17" s="5" t="s">
        <v>47</v>
      </c>
      <c r="K17" s="6">
        <f>_xlfn.NORM.S.INV(0.05/2)</f>
        <v>-1.9599639845400538</v>
      </c>
      <c r="N17" s="5" t="s">
        <v>45</v>
      </c>
      <c r="O17" s="20">
        <f>O11+O13*SQRT(O12/O10)</f>
        <v>86.439026070247806</v>
      </c>
      <c r="R17" s="5" t="s">
        <v>47</v>
      </c>
      <c r="S17" s="6">
        <f>_xlfn.NORM.S.INV(0.05/2)</f>
        <v>-1.9599639845400538</v>
      </c>
    </row>
    <row r="18" spans="6:19" x14ac:dyDescent="0.3">
      <c r="F18" s="5" t="s">
        <v>49</v>
      </c>
      <c r="G18" s="19">
        <f>H13</f>
        <v>65.886639676113475</v>
      </c>
      <c r="J18" s="5"/>
      <c r="K18" s="6"/>
      <c r="R18" s="5"/>
      <c r="S18" s="6"/>
    </row>
    <row r="19" spans="6:19" x14ac:dyDescent="0.3">
      <c r="F19" s="5" t="s">
        <v>52</v>
      </c>
      <c r="G19" s="6">
        <f>ABS(_xlfn.T.INV(0.025,38))</f>
        <v>2.0243941639119702</v>
      </c>
      <c r="J19" s="5" t="s">
        <v>44</v>
      </c>
      <c r="K19" s="20">
        <f>K14-K16*SQRT(K15/K13)</f>
        <v>79.538284254595567</v>
      </c>
      <c r="N19" s="21" t="s">
        <v>46</v>
      </c>
      <c r="O19" s="22">
        <f>SQRT(O12*O14^2/O10)</f>
        <v>0.83998456480271044</v>
      </c>
      <c r="R19" s="5" t="s">
        <v>44</v>
      </c>
      <c r="S19" s="20">
        <f>S14-S16*SQRT(S15/S13)</f>
        <v>92.586520893068794</v>
      </c>
    </row>
    <row r="20" spans="6:19" x14ac:dyDescent="0.3">
      <c r="F20" s="5" t="s">
        <v>47</v>
      </c>
      <c r="G20" s="6">
        <f>_xlfn.NORM.S.INV(0.05/2)</f>
        <v>-1.9599639845400538</v>
      </c>
      <c r="J20" s="5" t="s">
        <v>45</v>
      </c>
      <c r="K20" s="20">
        <f>K14+K16*SQRT(K15/K13)</f>
        <v>85.552624836313527</v>
      </c>
      <c r="R20" s="5" t="s">
        <v>45</v>
      </c>
      <c r="S20" s="20">
        <f>S14+S16*SQRT(S15/S13)</f>
        <v>97.342050535502622</v>
      </c>
    </row>
    <row r="21" spans="6:19" x14ac:dyDescent="0.3">
      <c r="F21" s="5"/>
      <c r="G21" s="6"/>
    </row>
    <row r="22" spans="6:19" x14ac:dyDescent="0.3">
      <c r="F22" s="5" t="s">
        <v>44</v>
      </c>
      <c r="G22" s="20">
        <f>G17-G19*SQRT(G18/G16)</f>
        <v>89.961497450534154</v>
      </c>
      <c r="J22" s="21" t="s">
        <v>46</v>
      </c>
      <c r="K22" s="22">
        <f>SQRT(K15*K17^2/K13)</f>
        <v>2.9114613994306824</v>
      </c>
      <c r="R22" s="21" t="s">
        <v>46</v>
      </c>
      <c r="S22" s="22">
        <f>SQRT(S15*S17^2/S13)</f>
        <v>2.3020879512346428</v>
      </c>
    </row>
    <row r="23" spans="6:19" x14ac:dyDescent="0.3">
      <c r="F23" s="5" t="s">
        <v>45</v>
      </c>
      <c r="G23" s="20">
        <f>G17+G19*SQRT(G18/G16)</f>
        <v>92.96157947254278</v>
      </c>
    </row>
    <row r="25" spans="6:19" x14ac:dyDescent="0.3">
      <c r="F25" s="21" t="s">
        <v>46</v>
      </c>
      <c r="G25" s="22">
        <f>SQRT(G18*G20^2/G16)</f>
        <v>1.4522993640824124</v>
      </c>
    </row>
    <row r="43" spans="6:7" x14ac:dyDescent="0.3">
      <c r="F43" s="5"/>
      <c r="G43" s="6"/>
    </row>
    <row r="44" spans="6:7" x14ac:dyDescent="0.3">
      <c r="F44" s="5"/>
      <c r="G44" s="18"/>
    </row>
    <row r="45" spans="6:7" x14ac:dyDescent="0.3">
      <c r="F45" s="5"/>
      <c r="G45" s="19"/>
    </row>
    <row r="46" spans="6:7" x14ac:dyDescent="0.3">
      <c r="F46" s="5"/>
      <c r="G46" s="6"/>
    </row>
    <row r="47" spans="6:7" x14ac:dyDescent="0.3">
      <c r="F47" s="5"/>
      <c r="G47" s="6"/>
    </row>
    <row r="48" spans="6:7" x14ac:dyDescent="0.3">
      <c r="F48" s="5"/>
      <c r="G48" s="6"/>
    </row>
    <row r="49" spans="6:7" x14ac:dyDescent="0.3">
      <c r="F49" s="5"/>
      <c r="G49" s="20"/>
    </row>
    <row r="50" spans="6:7" x14ac:dyDescent="0.3">
      <c r="F50" s="5"/>
      <c r="G50" s="20"/>
    </row>
    <row r="52" spans="6:7" x14ac:dyDescent="0.3">
      <c r="F52" s="21"/>
      <c r="G52" s="22"/>
    </row>
  </sheetData>
  <pageMargins left="0.511811024" right="0.511811024" top="0.78740157499999996" bottom="0.78740157499999996" header="0.31496062000000002" footer="0.31496062000000002"/>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FB60D-A96E-4510-8EB9-CCDC257909F4}">
  <sheetPr>
    <pageSetUpPr fitToPage="1"/>
  </sheetPr>
  <dimension ref="B2"/>
  <sheetViews>
    <sheetView tabSelected="1" showWhiteSpace="0" topLeftCell="A28" zoomScale="70" zoomScaleNormal="70" zoomScalePageLayoutView="10" workbookViewId="0">
      <selection activeCell="V61" sqref="V61"/>
    </sheetView>
  </sheetViews>
  <sheetFormatPr defaultRowHeight="16.3" x14ac:dyDescent="0.3"/>
  <cols>
    <col min="2" max="2" width="19.33203125" bestFit="1" customWidth="1"/>
  </cols>
  <sheetData>
    <row r="2" spans="2:2" x14ac:dyDescent="0.3">
      <c r="B2" s="17"/>
    </row>
  </sheetData>
  <pageMargins left="0.25" right="0.25" top="0.75" bottom="0.75" header="0.3" footer="0.3"/>
  <pageSetup paperSize="9" scale="5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dados_da_campanha</vt:lpstr>
      <vt:lpstr>Metadados</vt:lpstr>
      <vt:lpstr>AED</vt:lpstr>
      <vt:lpstr>Inf Estatística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Nicole Reiniger</cp:lastModifiedBy>
  <cp:lastPrinted>2026-02-27T13:48:42Z</cp:lastPrinted>
  <dcterms:created xsi:type="dcterms:W3CDTF">2019-09-17T02:58:02Z</dcterms:created>
  <dcterms:modified xsi:type="dcterms:W3CDTF">2026-02-27T14:26:09Z</dcterms:modified>
</cp:coreProperties>
</file>